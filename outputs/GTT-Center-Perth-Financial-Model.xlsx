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Revenue Model" sheetId="2" state="visible" r:id="rId2"/>
    <sheet xmlns:r="http://schemas.openxmlformats.org/officeDocument/2006/relationships" name="3. Cost Model" sheetId="3" state="visible" r:id="rId3"/>
    <sheet xmlns:r="http://schemas.openxmlformats.org/officeDocument/2006/relationships" name="4. P&amp;L Operating Model" sheetId="4" state="visible" r:id="rId4"/>
    <sheet xmlns:r="http://schemas.openxmlformats.org/officeDocument/2006/relationships" name="5. Cash Flow" sheetId="5" state="visible" r:id="rId5"/>
    <sheet xmlns:r="http://schemas.openxmlformats.org/officeDocument/2006/relationships" name="6. Break-Even" sheetId="6" state="visible" r:id="rId6"/>
    <sheet xmlns:r="http://schemas.openxmlformats.org/officeDocument/2006/relationships" name="7. Funding Requirement" sheetId="7" state="visible" r:id="rId7"/>
    <sheet xmlns:r="http://schemas.openxmlformats.org/officeDocument/2006/relationships" name="8. Sensitivity Analysis" sheetId="8" state="visible" r:id="rId8"/>
    <sheet xmlns:r="http://schemas.openxmlformats.org/officeDocument/2006/relationships" name="9. Assumptions &amp; Open Issues" sheetId="9" state="visible" r:id="rId9"/>
    <sheet xmlns:r="http://schemas.openxmlformats.org/officeDocument/2006/relationships" name="10. Source &amp; Methodolog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0.00&quot;%&quot;"/>
    <numFmt numFmtId="166" formatCode="0.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sz val="12"/>
    </font>
    <font>
      <name val="Calibri"/>
      <b val="1"/>
      <color rgb="00C00000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9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 wrapText="1"/>
    </xf>
    <xf numFmtId="0" fontId="6" fillId="5" borderId="1" pivotButton="0" quotePrefix="0" xfId="0"/>
    <xf numFmtId="164" fontId="7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164" fontId="7" fillId="0" borderId="1" pivotButton="0" quotePrefix="0" xfId="0"/>
    <xf numFmtId="0" fontId="7" fillId="0" borderId="1" pivotButton="0" quotePrefix="0" xfId="0"/>
    <xf numFmtId="0" fontId="8" fillId="0" borderId="0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165" fontId="7" fillId="0" borderId="1" pivotButton="0" quotePrefix="0" xfId="0"/>
    <xf numFmtId="165" fontId="7" fillId="5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9" fillId="5" borderId="1" pivotButton="0" quotePrefix="0" xfId="0"/>
    <xf numFmtId="164" fontId="9" fillId="5" borderId="1" pivotButton="0" quotePrefix="0" xfId="0"/>
    <xf numFmtId="0" fontId="3" fillId="3" borderId="1" pivotButton="0" quotePrefix="0" xfId="0"/>
    <xf numFmtId="166" fontId="7" fillId="5" borderId="1" pivotButton="0" quotePrefix="0" xfId="0"/>
    <xf numFmtId="166" fontId="7" fillId="0" borderId="1" pivotButton="0" quotePrefix="0" xfId="0"/>
    <xf numFmtId="0" fontId="10" fillId="5" borderId="1" pivotButton="0" quotePrefix="0" xfId="0"/>
    <xf numFmtId="164" fontId="10" fillId="5" borderId="1" pivotButton="0" quotePrefix="0" xfId="0"/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4" customWidth="1" min="4" max="4"/>
    <col width="30" customWidth="1" min="5" max="5"/>
  </cols>
  <sheetData>
    <row r="1" ht="28" customHeight="1">
      <c r="A1" s="1" t="inlineStr">
        <is>
          <t>GTT Center Perth — Master Financial Model</t>
        </is>
      </c>
    </row>
    <row r="2">
      <c r="A2" s="2" t="inlineStr">
        <is>
          <t>Executive Summary — Table 1 vs Table 2</t>
        </is>
      </c>
    </row>
    <row r="4" ht="15" customHeight="1">
      <c r="A4" s="3" t="inlineStr">
        <is>
          <t>IMPORTANT — READ FIRST</t>
        </is>
      </c>
    </row>
    <row r="5" ht="15" customHeight="1">
      <c r="A5" s="3" t="inlineStr">
        <is>
          <t>This workbook presents CANONICAL (validated, deterministic) figures alongside HISTORICAL/INHERITED,</t>
        </is>
      </c>
    </row>
    <row r="6" ht="15" customHeight="1">
      <c r="A6" s="3" t="inlineStr">
        <is>
          <t>MODELLED, and BOUNDED figures. Every figure is labelled with its governance status. Neither Table 1</t>
        </is>
      </c>
    </row>
    <row r="7" ht="15" customHeight="1">
      <c r="A7" s="3" t="inlineStr">
        <is>
          <t>(18 clients/day) nor Table 2 (12 clients/day) is chosen as the venture's primary scenario — see</t>
        </is>
      </c>
    </row>
    <row r="8" ht="15" customHeight="1">
      <c r="A8" s="3" t="inlineStr">
        <is>
          <t>VERIFICATION-TRACKER.md item 1m, still open. The funding requirement (Section 7) is a BOUNDED RANGE,</t>
        </is>
      </c>
    </row>
    <row r="9" ht="15" customHeight="1">
      <c r="A9" s="3" t="inlineStr">
        <is>
          <t>not an exact figure — do not quote a single number from it. No opening cash balance or financing</t>
        </is>
      </c>
    </row>
    <row r="10" ht="15" customHeight="1">
      <c r="A10" s="3" t="inlineStr">
        <is>
          <t>structure has been assumed anywhere in this workbook. Full source: docs/architecture/ methodology docs.</t>
        </is>
      </c>
    </row>
    <row r="12" ht="20" customHeight="1">
      <c r="A12" s="4" t="inlineStr">
        <is>
          <t>Scenario Comparison — Month 5+ Steady State</t>
        </is>
      </c>
    </row>
    <row r="13">
      <c r="A13" s="5" t="inlineStr">
        <is>
          <t>Metric</t>
        </is>
      </c>
      <c r="B13" s="5" t="inlineStr">
        <is>
          <t>Table 1 (18/day)</t>
        </is>
      </c>
      <c r="C13" s="5" t="inlineStr">
        <is>
          <t>Table 2 (12/day)</t>
        </is>
      </c>
      <c r="D13" s="5" t="inlineStr"/>
      <c r="E13" s="5" t="inlineStr">
        <is>
          <t>Status</t>
        </is>
      </c>
    </row>
    <row r="14">
      <c r="A14" s="6" t="inlineStr">
        <is>
          <t>Client volume (per day)</t>
        </is>
      </c>
      <c r="B14" s="7" t="n">
        <v>18</v>
      </c>
      <c r="C14" s="7" t="n">
        <v>12</v>
      </c>
      <c r="D14" s="8" t="inlineStr"/>
      <c r="E14" s="8" t="inlineStr">
        <is>
          <t>VERIFIED</t>
        </is>
      </c>
    </row>
    <row r="15">
      <c r="A15" s="9" t="inlineStr">
        <is>
          <t>Monthly revenue (AUD)</t>
        </is>
      </c>
      <c r="B15" s="10" t="n">
        <v>155215.8</v>
      </c>
      <c r="C15" s="10" t="n">
        <v>115720.8</v>
      </c>
      <c r="D15" s="11" t="inlineStr"/>
      <c r="E15" s="11" t="inlineStr">
        <is>
          <t>CANONICAL / CALCULATED</t>
        </is>
      </c>
    </row>
    <row r="16">
      <c r="A16" s="6" t="inlineStr">
        <is>
          <t>Monthly payroll, incl. super (AUD)</t>
        </is>
      </c>
      <c r="B16" s="7" t="n">
        <v>84654.10000000001</v>
      </c>
      <c r="C16" s="7" t="n">
        <v>80684.16</v>
      </c>
      <c r="D16" s="8" t="inlineStr"/>
      <c r="E16" s="8" t="inlineStr">
        <is>
          <t>CALCULATED</t>
        </is>
      </c>
    </row>
    <row r="17">
      <c r="A17" s="9" t="inlineStr">
        <is>
          <t>Monthly operating expenses (AUD)</t>
        </is>
      </c>
      <c r="B17" s="10" t="n">
        <v>13980</v>
      </c>
      <c r="C17" s="10" t="n">
        <v>13980</v>
      </c>
      <c r="D17" s="11" t="inlineStr"/>
      <c r="E17" s="11" t="inlineStr">
        <is>
          <t>CALCULATED</t>
        </is>
      </c>
    </row>
    <row r="18">
      <c r="A18" s="6" t="inlineStr">
        <is>
          <t>Total operating costs (AUD)</t>
        </is>
      </c>
      <c r="B18" s="7" t="n">
        <v>98634.10000000001</v>
      </c>
      <c r="C18" s="7" t="n">
        <v>94664.16</v>
      </c>
      <c r="D18" s="8" t="inlineStr"/>
      <c r="E18" s="8" t="inlineStr">
        <is>
          <t>CALCULATED</t>
        </is>
      </c>
    </row>
    <row r="19">
      <c r="A19" s="9" t="inlineStr">
        <is>
          <t>Net operating result (AUD/month)</t>
        </is>
      </c>
      <c r="B19" s="10" t="n">
        <v>56581.7</v>
      </c>
      <c r="C19" s="10" t="n">
        <v>21056.64</v>
      </c>
      <c r="D19" s="11" t="inlineStr"/>
      <c r="E19" s="11" t="inlineStr">
        <is>
          <t>CALCULATED</t>
        </is>
      </c>
    </row>
    <row r="20">
      <c r="A20" s="6" t="inlineStr">
        <is>
          <t>Break-even AM client volume/day</t>
        </is>
      </c>
      <c r="B20" s="7" t="n">
        <v>9.404</v>
      </c>
      <c r="C20" s="7" t="n">
        <v>8.801</v>
      </c>
      <c r="D20" s="8" t="inlineStr"/>
      <c r="E20" s="8" t="inlineStr">
        <is>
          <t>CALCULATED, bounded scope</t>
        </is>
      </c>
    </row>
    <row r="21">
      <c r="A21" s="9" t="inlineStr">
        <is>
          <t>Margin of safety (clients/day)</t>
        </is>
      </c>
      <c r="B21" s="10" t="n">
        <v>8.596</v>
      </c>
      <c r="C21" s="10" t="n">
        <v>3.199</v>
      </c>
      <c r="D21" s="11" t="inlineStr"/>
      <c r="E21" s="11" t="inlineStr">
        <is>
          <t>CALCULATED</t>
        </is>
      </c>
    </row>
    <row r="22">
      <c r="A22" s="6" t="inlineStr">
        <is>
          <t>24-month net operating result (AUD)</t>
        </is>
      </c>
      <c r="B22" s="7" t="n">
        <v>1172971.91</v>
      </c>
      <c r="C22" s="7" t="n">
        <v>368159.42</v>
      </c>
      <c r="D22" s="8" t="inlineStr"/>
      <c r="E22" s="8" t="inlineStr">
        <is>
          <t>CALCULATED</t>
        </is>
      </c>
    </row>
    <row r="23">
      <c r="A23" s="9" t="inlineStr">
        <is>
          <t>Annualised revenue (AUD)</t>
        </is>
      </c>
      <c r="B23" s="10" t="n">
        <v>1862589.6</v>
      </c>
      <c r="C23" s="10" t="n">
        <v>1388649.6</v>
      </c>
      <c r="D23" s="11" t="inlineStr"/>
      <c r="E23" s="11" t="inlineStr">
        <is>
          <t>CALCULATED</t>
        </is>
      </c>
    </row>
    <row r="24">
      <c r="A24" s="6" t="inlineStr">
        <is>
          <t>Annualised net operating result (AUD)</t>
        </is>
      </c>
      <c r="B24" s="7" t="n">
        <v>678980.4</v>
      </c>
      <c r="C24" s="7" t="n">
        <v>252679.68</v>
      </c>
      <c r="D24" s="8" t="inlineStr"/>
      <c r="E24" s="8" t="inlineStr">
        <is>
          <t>CALCULATED</t>
        </is>
      </c>
    </row>
    <row r="25">
      <c r="A25" s="9" t="inlineStr">
        <is>
          <t>Operating cash trough (AUD)</t>
        </is>
      </c>
      <c r="B25" s="10" t="n">
        <v>-30885.75</v>
      </c>
      <c r="C25" s="10" t="n">
        <v>-66335.12</v>
      </c>
      <c r="D25" s="11" t="inlineStr"/>
      <c r="E25" s="11" t="inlineStr">
        <is>
          <t>CALCULATED, operating-cash-only</t>
        </is>
      </c>
    </row>
    <row r="27" ht="20" customHeight="1">
      <c r="A27" s="4" t="inlineStr">
        <is>
          <t>Bounded Funding Requirement</t>
        </is>
      </c>
    </row>
    <row r="28">
      <c r="A28" s="9" t="inlineStr">
        <is>
          <t>Pre-opening capital (AUD)</t>
        </is>
      </c>
      <c r="B28" s="10" t="n">
        <v>272390</v>
      </c>
      <c r="C28" s="10" t="n">
        <v>467180</v>
      </c>
      <c r="D28" s="11" t="inlineStr"/>
      <c r="E28" s="11" t="inlineStr">
        <is>
          <t>CALCULATED, universal (not scenario-specific)</t>
        </is>
      </c>
    </row>
    <row r="29">
      <c r="A29" s="6" t="inlineStr">
        <is>
          <t>Working capital reserve, historical basis (AUD)</t>
        </is>
      </c>
      <c r="B29" s="7" t="n">
        <v>85000</v>
      </c>
      <c r="C29" s="7" t="n">
        <v>110000</v>
      </c>
      <c r="D29" s="8" t="inlineStr"/>
      <c r="E29" s="8" t="inlineStr">
        <is>
          <t>MODELLED, stale basis</t>
        </is>
      </c>
    </row>
    <row r="30">
      <c r="A30" s="9" t="inlineStr">
        <is>
          <t>BOUNDED FUNDING REQUIREMENT — RANGE, NOT EXACT (AUD)</t>
        </is>
      </c>
      <c r="B30" s="10" t="n">
        <v>357390</v>
      </c>
      <c r="C30" s="10" t="n">
        <v>577180</v>
      </c>
      <c r="D30" s="11" t="inlineStr"/>
      <c r="E30" s="11" t="inlineStr">
        <is>
          <t>CALCULATED — BOUNDED, not exact</t>
        </is>
      </c>
    </row>
    <row r="32" ht="15" customHeight="1">
      <c r="A32" s="12" t="inlineStr">
        <is>
          <t>The funding requirement above is a RANGE (A$357,390 – A$577,180), not a single point estimate. The</t>
        </is>
      </c>
    </row>
    <row r="33" ht="15" customHeight="1">
      <c r="A33" s="12" t="inlineStr">
        <is>
          <t>underlying 6–9 historical startup-capital ranges remain unreconciled (docs/architecture/</t>
        </is>
      </c>
    </row>
    <row r="34" ht="15" customHeight="1">
      <c r="A34" s="12" t="inlineStr">
        <is>
          <t>STARTUP-COST-RECONCILIATION.md) — see the Funding Requirement sheet for full detail.</t>
        </is>
      </c>
    </row>
    <row r="36" ht="20" customHeight="1">
      <c r="A36" s="4" t="inlineStr">
        <is>
          <t>Key Risks / Unresolved Assumptions (summary — see Sheet 9 for full list)</t>
        </is>
      </c>
    </row>
    <row r="37">
      <c r="A37" s="11" t="inlineStr">
        <is>
          <t>Historical revenue/cost figures differ from canonical (A$2,576.36/month gap, origin permanently unresolved — item 36).</t>
        </is>
      </c>
      <c r="B37" s="13" t="n"/>
      <c r="C37" s="13" t="n"/>
      <c r="D37" s="13" t="n"/>
      <c r="E37" s="14" t="n"/>
    </row>
    <row r="38">
      <c r="A38" s="11" t="inlineStr">
        <is>
          <t>10% PM pre-booking discount is NOT applied anywhere in this model (item 39) — a revenue-overstatement risk.</t>
        </is>
      </c>
      <c r="B38" s="13" t="n"/>
      <c r="C38" s="13" t="n"/>
      <c r="D38" s="13" t="n"/>
      <c r="E38" s="14" t="n"/>
    </row>
    <row r="39">
      <c r="A39" s="11" t="inlineStr">
        <is>
          <t>AM labour is modelled fixed from Month 1 — a conservative, disclosed simplification, not a discovered fact (item 43).</t>
        </is>
      </c>
      <c r="B39" s="13" t="n"/>
      <c r="C39" s="13" t="n"/>
      <c r="D39" s="13" t="n"/>
      <c r="E39" s="14" t="n"/>
    </row>
    <row r="40">
      <c r="A40" s="11" t="inlineStr">
        <is>
          <t>Superannuation is applied to most, but not all, payroll components — Opening-Time Increment/Receptionist-Relief remain unresolved.</t>
        </is>
      </c>
      <c r="B40" s="13" t="n"/>
      <c r="C40" s="13" t="n"/>
      <c r="D40" s="13" t="n"/>
      <c r="E40" s="14" t="n"/>
    </row>
    <row r="41">
      <c r="A41" s="11" t="inlineStr">
        <is>
          <t>Consumables/laundry FIXED-vs-VARIABLE classification remains unresolved — no 'total visits' definition exists (item 45).</t>
        </is>
      </c>
      <c r="B41" s="13" t="n"/>
      <c r="C41" s="13" t="n"/>
      <c r="D41" s="13" t="n"/>
      <c r="E41" s="14" t="n"/>
    </row>
    <row r="42">
      <c r="A42" s="11" t="inlineStr">
        <is>
          <t>Funding requirement is bounded, not exact — see Section 7.</t>
        </is>
      </c>
      <c r="B42" s="13" t="n"/>
      <c r="C42" s="13" t="n"/>
      <c r="D42" s="13" t="n"/>
      <c r="E42" s="14" t="n"/>
    </row>
  </sheetData>
  <mergeCells count="20">
    <mergeCell ref="A9:H9"/>
    <mergeCell ref="A39:E39"/>
    <mergeCell ref="A36:H36"/>
    <mergeCell ref="A1:H1"/>
    <mergeCell ref="A6:H6"/>
    <mergeCell ref="A7:H7"/>
    <mergeCell ref="A41:E41"/>
    <mergeCell ref="A37:E37"/>
    <mergeCell ref="A27:H27"/>
    <mergeCell ref="A12:H12"/>
    <mergeCell ref="A42:E42"/>
    <mergeCell ref="A33:H33"/>
    <mergeCell ref="A5:H5"/>
    <mergeCell ref="A32:H32"/>
    <mergeCell ref="A8:H8"/>
    <mergeCell ref="A4:H4"/>
    <mergeCell ref="A38:E38"/>
    <mergeCell ref="A10:H10"/>
    <mergeCell ref="A40:E40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Revenue Model</t>
        </is>
      </c>
    </row>
    <row r="3" ht="15" customHeight="1">
      <c r="A3" s="12" t="inlineStr">
        <is>
          <t>Canonical formula (docs/architecture/CANONICAL-REVENUE-METHODOLOGY.md):</t>
        </is>
      </c>
    </row>
    <row r="4" ht="15" customHeight="1">
      <c r="A4" s="12" t="inlineStr">
        <is>
          <t>Monthly Revenue = (clients/day × AM price × operating weekdays) + (clients/day × AM price × operating Saturdays)</t>
        </is>
      </c>
    </row>
    <row r="5" ht="15" customHeight="1">
      <c r="A5" s="12" t="inlineStr">
        <is>
          <t xml:space="preserve">                 + (PM weekday sessions × PM price × operating weekdays) + (PM Saturday sessions × PM price × operating Saturdays) + Ancillary</t>
        </is>
      </c>
    </row>
    <row r="6" ht="15" customHeight="1">
      <c r="A6" s="12" t="inlineStr">
        <is>
          <t>Canonical inputs: pricing.yml#am_price_used_for_revenue (A$250), pricing.yml#pm_alacarte_average (A$95),</t>
        </is>
      </c>
    </row>
    <row r="7" ht="15" customHeight="1">
      <c r="A7" s="12" t="inlineStr">
        <is>
          <t>client_assumptions.yml#operating_days_per_month_weekday (22), #operating_saturdays_per_month (4.33),</t>
        </is>
      </c>
    </row>
    <row r="8" ht="15" customHeight="1">
      <c r="A8" s="12" t="inlineStr">
        <is>
          <t>client_assumptions.yml#pm_steady_state_capacity (16), revenue_assumptions.yml#rev_pm_saturday_sessions (8).</t>
        </is>
      </c>
    </row>
    <row r="10" ht="20" customHeight="1">
      <c r="A10" s="4" t="inlineStr">
        <is>
          <t>Table 1 (18 clients/day) — Month 1-5+ Revenue Ramp</t>
        </is>
      </c>
    </row>
    <row r="11">
      <c r="A11" s="5" t="inlineStr">
        <is>
          <t>Month</t>
        </is>
      </c>
      <c r="B11" s="5" t="inlineStr">
        <is>
          <t>AM Revenue</t>
        </is>
      </c>
      <c r="C11" s="5" t="inlineStr">
        <is>
          <t>PM Revenue</t>
        </is>
      </c>
      <c r="D11" s="5" t="inlineStr">
        <is>
          <t>Ancillary Revenue</t>
        </is>
      </c>
      <c r="E11" s="5" t="inlineStr">
        <is>
          <t>Total Revenue</t>
        </is>
      </c>
      <c r="F11" s="5" t="inlineStr">
        <is>
          <t>% of Steady State</t>
        </is>
      </c>
      <c r="G11" s="5" t="inlineStr">
        <is>
          <t>Status</t>
        </is>
      </c>
    </row>
    <row r="12">
      <c r="A12" s="9" t="inlineStr">
        <is>
          <t>M1</t>
        </is>
      </c>
      <c r="B12" s="10" t="n">
        <v>50948.55</v>
      </c>
      <c r="C12" s="10" t="n">
        <v>15794.24</v>
      </c>
      <c r="D12" s="10" t="n">
        <v>0</v>
      </c>
      <c r="E12" s="10" t="n">
        <v>66742.78999999999</v>
      </c>
      <c r="F12" s="15" t="n">
        <v>43</v>
      </c>
      <c r="G12" s="11" t="inlineStr">
        <is>
          <t>CALCULATED</t>
        </is>
      </c>
    </row>
    <row r="13">
      <c r="A13" s="6" t="inlineStr">
        <is>
          <t>M2</t>
        </is>
      </c>
      <c r="B13" s="7" t="n">
        <v>75830.39999999999</v>
      </c>
      <c r="C13" s="7" t="n">
        <v>23507.71</v>
      </c>
      <c r="D13" s="7" t="n">
        <v>0</v>
      </c>
      <c r="E13" s="7" t="n">
        <v>99338.11</v>
      </c>
      <c r="F13" s="16" t="n">
        <v>64</v>
      </c>
      <c r="G13" s="8" t="inlineStr">
        <is>
          <t>CALCULATED</t>
        </is>
      </c>
    </row>
    <row r="14">
      <c r="A14" s="9" t="inlineStr">
        <is>
          <t>M3</t>
        </is>
      </c>
      <c r="B14" s="10" t="n">
        <v>93603.14999999999</v>
      </c>
      <c r="C14" s="10" t="n">
        <v>29017.33</v>
      </c>
      <c r="D14" s="10" t="n">
        <v>0</v>
      </c>
      <c r="E14" s="10" t="n">
        <v>122620.48</v>
      </c>
      <c r="F14" s="15" t="n">
        <v>79</v>
      </c>
      <c r="G14" s="11" t="inlineStr">
        <is>
          <t>CALCULATED</t>
        </is>
      </c>
    </row>
    <row r="15">
      <c r="A15" s="6" t="inlineStr">
        <is>
          <t>M4</t>
        </is>
      </c>
      <c r="B15" s="7" t="n">
        <v>110191.05</v>
      </c>
      <c r="C15" s="7" t="n">
        <v>34159.64</v>
      </c>
      <c r="D15" s="7" t="n">
        <v>0</v>
      </c>
      <c r="E15" s="7" t="n">
        <v>144350.69</v>
      </c>
      <c r="F15" s="16" t="n">
        <v>93</v>
      </c>
      <c r="G15" s="8" t="inlineStr">
        <is>
          <t>CALCULATED</t>
        </is>
      </c>
    </row>
    <row r="16">
      <c r="A16" s="9" t="inlineStr">
        <is>
          <t>M5+ (steady state)</t>
        </is>
      </c>
      <c r="B16" s="10" t="n">
        <v>118485</v>
      </c>
      <c r="C16" s="10" t="n">
        <v>36730.8</v>
      </c>
      <c r="D16" s="10" t="n">
        <v>0</v>
      </c>
      <c r="E16" s="10" t="n">
        <v>155215.8</v>
      </c>
      <c r="F16" s="15" t="n">
        <v>100</v>
      </c>
      <c r="G16" s="11" t="inlineStr">
        <is>
          <t>CALCULATED</t>
        </is>
      </c>
    </row>
    <row r="18" ht="20" customHeight="1">
      <c r="A18" s="4" t="inlineStr">
        <is>
          <t>Table 2 (12 clients/day) — Month 1-5+ Revenue Ramp</t>
        </is>
      </c>
    </row>
    <row r="19">
      <c r="A19" s="5" t="inlineStr">
        <is>
          <t>Month</t>
        </is>
      </c>
      <c r="B19" s="5" t="inlineStr">
        <is>
          <t>AM Revenue</t>
        </is>
      </c>
      <c r="C19" s="5" t="inlineStr">
        <is>
          <t>PM Revenue</t>
        </is>
      </c>
      <c r="D19" s="5" t="inlineStr">
        <is>
          <t>Ancillary Revenue</t>
        </is>
      </c>
      <c r="E19" s="5" t="inlineStr">
        <is>
          <t>Total Revenue</t>
        </is>
      </c>
      <c r="F19" s="5" t="inlineStr">
        <is>
          <t>% of Steady State</t>
        </is>
      </c>
      <c r="G19" s="5" t="inlineStr">
        <is>
          <t>Status</t>
        </is>
      </c>
    </row>
    <row r="20">
      <c r="A20" s="9" t="inlineStr">
        <is>
          <t>M1</t>
        </is>
      </c>
      <c r="B20" s="10" t="n">
        <v>33965.7</v>
      </c>
      <c r="C20" s="10" t="n">
        <v>15794.24</v>
      </c>
      <c r="D20" s="10" t="n">
        <v>0</v>
      </c>
      <c r="E20" s="10" t="n">
        <v>49759.94</v>
      </c>
      <c r="F20" s="15" t="n">
        <v>43</v>
      </c>
      <c r="G20" s="11" t="inlineStr">
        <is>
          <t>CALCULATED</t>
        </is>
      </c>
    </row>
    <row r="21">
      <c r="A21" s="6" t="inlineStr">
        <is>
          <t>M2</t>
        </is>
      </c>
      <c r="B21" s="7" t="n">
        <v>50553.6</v>
      </c>
      <c r="C21" s="7" t="n">
        <v>23507.71</v>
      </c>
      <c r="D21" s="7" t="n">
        <v>0</v>
      </c>
      <c r="E21" s="7" t="n">
        <v>74061.31</v>
      </c>
      <c r="F21" s="16" t="n">
        <v>64</v>
      </c>
      <c r="G21" s="8" t="inlineStr">
        <is>
          <t>CALCULATED</t>
        </is>
      </c>
    </row>
    <row r="22">
      <c r="A22" s="9" t="inlineStr">
        <is>
          <t>M3</t>
        </is>
      </c>
      <c r="B22" s="10" t="n">
        <v>62402.1</v>
      </c>
      <c r="C22" s="10" t="n">
        <v>29017.33</v>
      </c>
      <c r="D22" s="10" t="n">
        <v>0</v>
      </c>
      <c r="E22" s="10" t="n">
        <v>91419.42999999999</v>
      </c>
      <c r="F22" s="15" t="n">
        <v>79</v>
      </c>
      <c r="G22" s="11" t="inlineStr">
        <is>
          <t>CALCULATED</t>
        </is>
      </c>
    </row>
    <row r="23">
      <c r="A23" s="6" t="inlineStr">
        <is>
          <t>M4</t>
        </is>
      </c>
      <c r="B23" s="7" t="n">
        <v>73460.7</v>
      </c>
      <c r="C23" s="7" t="n">
        <v>34159.64</v>
      </c>
      <c r="D23" s="7" t="n">
        <v>0</v>
      </c>
      <c r="E23" s="7" t="n">
        <v>107620.34</v>
      </c>
      <c r="F23" s="16" t="n">
        <v>93</v>
      </c>
      <c r="G23" s="8" t="inlineStr">
        <is>
          <t>CALCULATED</t>
        </is>
      </c>
    </row>
    <row r="24">
      <c r="A24" s="9" t="inlineStr">
        <is>
          <t>M5+ (steady state)</t>
        </is>
      </c>
      <c r="B24" s="10" t="n">
        <v>78990</v>
      </c>
      <c r="C24" s="10" t="n">
        <v>36730.8</v>
      </c>
      <c r="D24" s="10" t="n">
        <v>0</v>
      </c>
      <c r="E24" s="10" t="n">
        <v>115720.8</v>
      </c>
      <c r="F24" s="15" t="n">
        <v>100</v>
      </c>
      <c r="G24" s="11" t="inlineStr">
        <is>
          <t>CALCULATED</t>
        </is>
      </c>
    </row>
    <row r="26" ht="15" customHeight="1">
      <c r="A26" s="12" t="inlineStr">
        <is>
          <t>Months 6-24: revenue held FLAT at Month 5+ steady state — no growth invented past Month 5,</t>
        </is>
      </c>
    </row>
    <row r="27" ht="15" customHeight="1">
      <c r="A27" s="12" t="inlineStr">
        <is>
          <t>per docs/architecture/CANONICAL-REVENUE-METHODOLOGY.md and explicit instruction. See Sheet 4 (P&amp;L) for the full 24-month series.</t>
        </is>
      </c>
    </row>
    <row r="28" ht="15" customHeight="1">
      <c r="A28" s="12" t="inlineStr">
        <is>
          <t>Ancillary revenue is A$0.00 throughout — EXCLUDED from the baseline per Anthony's 2026-07-30 instruction (VERIFIED), shown explicitly not omitted.</t>
        </is>
      </c>
    </row>
  </sheetData>
  <mergeCells count="12">
    <mergeCell ref="A18:G18"/>
    <mergeCell ref="A27:G27"/>
    <mergeCell ref="A8:G8"/>
    <mergeCell ref="A3:G3"/>
    <mergeCell ref="A6:G6"/>
    <mergeCell ref="A28:G28"/>
    <mergeCell ref="A4:G4"/>
    <mergeCell ref="A26:G26"/>
    <mergeCell ref="A7:G7"/>
    <mergeCell ref="A1:H1"/>
    <mergeCell ref="A10:G10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4" customWidth="1" min="4" max="4"/>
    <col width="32" customWidth="1" min="5" max="5"/>
    <col width="18" customWidth="1" min="6" max="6"/>
    <col width="18" customWidth="1" min="7" max="7"/>
  </cols>
  <sheetData>
    <row r="1" ht="28" customHeight="1">
      <c r="A1" s="1" t="inlineStr">
        <is>
          <t>Cost Model</t>
        </is>
      </c>
    </row>
    <row r="3" ht="15" customHeight="1">
      <c r="A3" s="12" t="inlineStr">
        <is>
          <t>Costs = Fixed (Non-Wage Overhead excl. marketing) + Variable (marketing ramp) + Payroll (incl. superannuation).</t>
        </is>
      </c>
    </row>
    <row r="4" ht="15" customHeight="1">
      <c r="A4" s="12" t="inlineStr">
        <is>
          <t>Source: data/canonical/cost_ramp.yml, docs/architecture/COST-RAMP-METHODOLOGY.md.</t>
        </is>
      </c>
    </row>
    <row r="6" ht="20" customHeight="1">
      <c r="A6" s="4" t="inlineStr">
        <is>
          <t>Payroll Breakdown — Month 5+ Steady State</t>
        </is>
      </c>
    </row>
    <row r="7">
      <c r="A7" s="5" t="inlineStr">
        <is>
          <t>Payroll Component</t>
        </is>
      </c>
      <c r="B7" s="5" t="inlineStr">
        <is>
          <t>Table 1 (AUD)</t>
        </is>
      </c>
      <c r="C7" s="5" t="inlineStr">
        <is>
          <t>Table 2 (AUD)</t>
        </is>
      </c>
      <c r="D7" s="5" t="inlineStr"/>
      <c r="E7" s="5" t="inlineStr">
        <is>
          <t>Superannuation Treatment</t>
        </is>
      </c>
      <c r="F7" s="5" t="inlineStr"/>
      <c r="G7" s="5" t="inlineStr"/>
    </row>
    <row r="8">
      <c r="A8" s="6" t="inlineStr">
        <is>
          <t>AM weekday — treatment staff (8 staff)</t>
        </is>
      </c>
      <c r="B8" s="7" t="n">
        <v>41076.67</v>
      </c>
      <c r="C8" s="7" t="n">
        <v>41076.67</v>
      </c>
      <c r="D8" s="8" t="inlineStr"/>
      <c r="E8" s="8" t="inlineStr">
        <is>
          <t>Already includes super (source table's own 'incl. super' label) — NOT added again</t>
        </is>
      </c>
      <c r="F8" s="13" t="n"/>
      <c r="G8" s="14" t="n"/>
    </row>
    <row r="9">
      <c r="A9" s="9" t="inlineStr">
        <is>
          <t>AM weekday — phlebotomist (2 staff)</t>
        </is>
      </c>
      <c r="B9" s="10" t="n">
        <v>7178</v>
      </c>
      <c r="C9" s="10" t="n">
        <v>7178</v>
      </c>
      <c r="D9" s="11" t="inlineStr"/>
      <c r="E9" s="11" t="inlineStr">
        <is>
          <t>Super ADDED (12%) — source table's Phlebotomist row is NOT labelled 'incl. super'</t>
        </is>
      </c>
      <c r="F9" s="13" t="n"/>
      <c r="G9" s="14" t="n"/>
    </row>
    <row r="10">
      <c r="A10" s="6" t="inlineStr">
        <is>
          <t>AM Saturday direct labour</t>
        </is>
      </c>
      <c r="B10" s="7" t="n">
        <v>10474.75</v>
      </c>
      <c r="C10" s="7" t="n">
        <v>6983.16</v>
      </c>
      <c r="D10" s="8" t="inlineStr"/>
      <c r="E10" s="8" t="inlineStr">
        <is>
          <t>Super ADDED (12%) — hourly-rate-based, exclusive of super</t>
        </is>
      </c>
      <c r="F10" s="13" t="n"/>
      <c r="G10" s="14" t="n"/>
    </row>
    <row r="11">
      <c r="A11" s="9" t="inlineStr">
        <is>
          <t>PM weekday direct labour</t>
        </is>
      </c>
      <c r="B11" s="10" t="n">
        <v>9680</v>
      </c>
      <c r="C11" s="10" t="n">
        <v>9680</v>
      </c>
      <c r="D11" s="11" t="inlineStr"/>
      <c r="E11" s="11" t="inlineStr">
        <is>
          <t>Super ADDED (12%) — hourly-rate-based</t>
        </is>
      </c>
      <c r="F11" s="13" t="n"/>
      <c r="G11" s="14" t="n"/>
    </row>
    <row r="12">
      <c r="A12" s="6" t="inlineStr">
        <is>
          <t>PM Saturday direct labour</t>
        </is>
      </c>
      <c r="B12" s="7" t="n">
        <v>2833.21</v>
      </c>
      <c r="C12" s="7" t="n">
        <v>2833.21</v>
      </c>
      <c r="D12" s="8" t="inlineStr"/>
      <c r="E12" s="8" t="inlineStr">
        <is>
          <t>Super ADDED (12%) — hourly-rate-based</t>
        </is>
      </c>
      <c r="F12" s="13" t="n"/>
      <c r="G12" s="14" t="n"/>
    </row>
    <row r="13">
      <c r="A13" s="9" t="inlineStr">
        <is>
          <t>Opening-time increment</t>
        </is>
      </c>
      <c r="B13" s="10" t="n">
        <v>979</v>
      </c>
      <c r="C13" s="10" t="n">
        <v>979</v>
      </c>
      <c r="D13" s="11" t="inlineStr"/>
      <c r="E13" s="11" t="inlineStr">
        <is>
          <t>NOT super-eligible-confirmed — UNRESOLVED (conflict_superannuation_partial_coverage)</t>
        </is>
      </c>
      <c r="F13" s="13" t="n"/>
      <c r="G13" s="14" t="n"/>
    </row>
    <row r="14">
      <c r="A14" s="6" t="inlineStr">
        <is>
          <t>Receptionist / Relief Pool</t>
        </is>
      </c>
      <c r="B14" s="7" t="n">
        <v>7458</v>
      </c>
      <c r="C14" s="7" t="n">
        <v>7458</v>
      </c>
      <c r="D14" s="8" t="inlineStr"/>
      <c r="E14" s="8" t="inlineStr">
        <is>
          <t>NOT super-eligible-confirmed — UNRESOLVED (conflict_superannuation_partial_coverage)</t>
        </is>
      </c>
      <c r="F14" s="13" t="n"/>
      <c r="G14" s="14" t="n"/>
    </row>
    <row r="15">
      <c r="A15" s="9" t="inlineStr">
        <is>
          <t>Superannuation (12% OTE, applied per above)</t>
        </is>
      </c>
      <c r="B15" s="10" t="n">
        <v>3619.92</v>
      </c>
      <c r="C15" s="10" t="n">
        <v>3200.92</v>
      </c>
      <c r="D15" s="11" t="inlineStr"/>
      <c r="E15" s="11" t="inlineStr">
        <is>
          <t>See docs/architecture/COST-RAMP-METHODOLOGY.md §4a</t>
        </is>
      </c>
      <c r="F15" s="13" t="n"/>
      <c r="G15" s="14" t="n"/>
    </row>
    <row r="16">
      <c r="A16" s="6" t="inlineStr">
        <is>
          <t>Workers Compensation (1.7%)</t>
        </is>
      </c>
      <c r="B16" s="7" t="n">
        <v>1354.55</v>
      </c>
      <c r="C16" s="7" t="n">
        <v>1295.2</v>
      </c>
      <c r="D16" s="8" t="inlineStr"/>
      <c r="E16" s="8" t="inlineStr">
        <is>
          <t>MODELLED, % of Direct Labor + Opening Costs</t>
        </is>
      </c>
      <c r="F16" s="13" t="n"/>
      <c r="G16" s="14" t="n"/>
    </row>
    <row r="17">
      <c r="A17" s="17" t="inlineStr">
        <is>
          <t>TOTAL PAYROLL (incl. super)</t>
        </is>
      </c>
      <c r="B17" s="18">
        <f>SUM(B8:B16)</f>
        <v/>
      </c>
      <c r="C17" s="18">
        <f>SUM(C8:C16)</f>
        <v/>
      </c>
      <c r="D17" s="11" t="inlineStr"/>
      <c r="E17" s="11">
        <f> sum of all rows above (linked formula)</f>
        <v/>
      </c>
    </row>
    <row r="19" ht="20" customHeight="1">
      <c r="A19" s="4" t="inlineStr">
        <is>
          <t>Operating Expenses — Fixed vs. Variable</t>
        </is>
      </c>
    </row>
    <row r="20">
      <c r="A20" s="5" t="inlineStr">
        <is>
          <t>Component</t>
        </is>
      </c>
      <c r="B20" s="5" t="inlineStr">
        <is>
          <t>Table 1 = Table 2 (AUD)</t>
        </is>
      </c>
      <c r="C20" s="5" t="inlineStr"/>
      <c r="D20" s="5" t="inlineStr"/>
      <c r="E20" s="5" t="inlineStr">
        <is>
          <t>Classification / Status</t>
        </is>
      </c>
      <c r="F20" s="5" t="inlineStr"/>
      <c r="G20" s="5" t="inlineStr"/>
    </row>
    <row r="21">
      <c r="A21" s="9" t="inlineStr">
        <is>
          <t>Fixed Non-Wage Overhead (excl. marketing)</t>
        </is>
      </c>
      <c r="B21" s="10" t="n">
        <v>12480</v>
      </c>
      <c r="C21" s="11" t="inlineStr"/>
      <c r="D21" s="11" t="inlineStr"/>
      <c r="E21" s="11" t="inlineStr">
        <is>
          <t>FIXED — status-quo classification (universal, both scenarios)</t>
        </is>
      </c>
    </row>
    <row r="22">
      <c r="A22" s="6" t="inlineStr">
        <is>
          <t>Marketing (variable, ramps Month 1-4)</t>
        </is>
      </c>
      <c r="B22" s="7" t="n">
        <v>1500</v>
      </c>
      <c r="C22" s="8" t="inlineStr"/>
      <c r="D22" s="8" t="inlineStr"/>
      <c r="E22" s="8" t="inlineStr">
        <is>
          <t>SEMI_VARIABLE — the only documented ramped opex line</t>
        </is>
      </c>
    </row>
    <row r="23">
      <c r="A23" s="17" t="inlineStr">
        <is>
          <t>TOTAL OPERATING EXPENSES</t>
        </is>
      </c>
      <c r="B23" s="18">
        <f>B21+B22</f>
        <v/>
      </c>
      <c r="C23" s="11" t="inlineStr"/>
      <c r="D23" s="11" t="inlineStr"/>
      <c r="E23" s="11">
        <f> Fixed + Variable (linked formula)</f>
        <v/>
      </c>
    </row>
    <row r="25" ht="15" customHeight="1">
      <c r="A25" s="3" t="inlineStr">
        <is>
          <t>UNRESOLVED cost classifications (not resolved by this workbook):</t>
        </is>
      </c>
    </row>
    <row r="26" ht="15" customHeight="1">
      <c r="A26" s="3" t="inlineStr">
        <is>
          <t>GTT supplies / general consumables / laundry — FIXED per profit-loss-tables.md vs. VARIABLE per unit-economics.md (historical) — conflict_variable_vs_fixed_classification_carried_forward.</t>
        </is>
      </c>
    </row>
    <row r="27" ht="15" customHeight="1">
      <c r="A27" s="3" t="inlineStr">
        <is>
          <t>Insurance — modelled A$400/month vs. itemised A$975-1,583/month (mandatory policies only) — conflict_insurance_estimate. See Sheet 8, Sensitivity.</t>
        </is>
      </c>
    </row>
    <row r="28" ht="15" customHeight="1">
      <c r="A28" s="3" t="inlineStr">
        <is>
          <t>AM labour ramp — modelled FIXED from Month 1 (conservative, disclosed simplification) — conflict_am_labor_ramp_unmodelled.</t>
        </is>
      </c>
    </row>
  </sheetData>
  <mergeCells count="18">
    <mergeCell ref="E10:G10"/>
    <mergeCell ref="A19:G19"/>
    <mergeCell ref="E13:G13"/>
    <mergeCell ref="E11:G11"/>
    <mergeCell ref="E14:G14"/>
    <mergeCell ref="A27:G27"/>
    <mergeCell ref="A3:G3"/>
    <mergeCell ref="A6:G6"/>
    <mergeCell ref="E8:G8"/>
    <mergeCell ref="A4:G4"/>
    <mergeCell ref="A25:G25"/>
    <mergeCell ref="A26:G26"/>
    <mergeCell ref="E9:G9"/>
    <mergeCell ref="E12:G12"/>
    <mergeCell ref="A1:H1"/>
    <mergeCell ref="E15:G15"/>
    <mergeCell ref="A28:G28"/>
    <mergeCell ref="E16:G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8" customWidth="1" min="5" max="5"/>
    <col width="20" customWidth="1" min="6" max="6"/>
    <col width="18" customWidth="1" min="7" max="7"/>
    <col width="18" customWidth="1" min="8" max="8"/>
  </cols>
  <sheetData>
    <row r="1" ht="28" customHeight="1">
      <c r="A1" s="1" t="inlineStr">
        <is>
          <t>P&amp;L / Operating Model — Month 1-24</t>
        </is>
      </c>
    </row>
    <row r="3" ht="15" customHeight="1">
      <c r="A3" s="12" t="inlineStr">
        <is>
          <t>Gross Contribution, Total Operating Costs, Net Operating Result, and Cumulative columns are LIVE FORMULAS</t>
        </is>
      </c>
    </row>
    <row r="4" ht="15" customHeight="1">
      <c r="A4" s="12" t="inlineStr">
        <is>
          <t>referencing the Revenue/Payroll/Operating Expenses cells in this sheet — not duplicated hard-coded values.</t>
        </is>
      </c>
    </row>
    <row r="5" ht="15" customHeight="1">
      <c r="A5" s="12" t="inlineStr">
        <is>
          <t>Months 6-24 repeat Month 5's steady-state Revenue/Payroll/OpEx inputs exactly (no growth invented past Month 5).</t>
        </is>
      </c>
    </row>
    <row r="6" ht="15" customHeight="1">
      <c r="A6" s="12" t="inlineStr">
        <is>
          <t>Startup costs and capex are NOT included anywhere in this sheet — operating P&amp;L only.</t>
        </is>
      </c>
    </row>
    <row r="8" ht="20" customHeight="1">
      <c r="A8" s="4" t="inlineStr">
        <is>
          <t>Table 1 (18 clients/day) — 24-Month P&amp;L</t>
        </is>
      </c>
    </row>
    <row r="9">
      <c r="A9" s="5" t="inlineStr">
        <is>
          <t>Month</t>
        </is>
      </c>
      <c r="B9" s="5" t="inlineStr">
        <is>
          <t>Revenue</t>
        </is>
      </c>
      <c r="C9" s="5" t="inlineStr">
        <is>
          <t>Payroll</t>
        </is>
      </c>
      <c r="D9" s="5" t="inlineStr">
        <is>
          <t>Gross Contribution</t>
        </is>
      </c>
      <c r="E9" s="5" t="inlineStr">
        <is>
          <t>Operating Expenses</t>
        </is>
      </c>
      <c r="F9" s="5" t="inlineStr">
        <is>
          <t>Total Operating Costs</t>
        </is>
      </c>
      <c r="G9" s="5" t="inlineStr">
        <is>
          <t>Net Operating Result</t>
        </is>
      </c>
      <c r="H9" s="5" t="inlineStr">
        <is>
          <t>Cumulative</t>
        </is>
      </c>
    </row>
    <row r="10">
      <c r="A10" s="9" t="inlineStr">
        <is>
          <t>M1</t>
        </is>
      </c>
      <c r="B10" s="10" t="n">
        <v>66742.78999999999</v>
      </c>
      <c r="C10" s="10" t="n">
        <v>84548.53999999999</v>
      </c>
      <c r="D10" s="10">
        <f>B10-C10</f>
        <v/>
      </c>
      <c r="E10" s="10" t="n">
        <v>13080</v>
      </c>
      <c r="F10" s="10">
        <f>C10+E10</f>
        <v/>
      </c>
      <c r="G10" s="10">
        <f>B10-F10</f>
        <v/>
      </c>
      <c r="H10" s="10">
        <f>G10</f>
        <v/>
      </c>
    </row>
    <row r="11">
      <c r="A11" s="6" t="inlineStr">
        <is>
          <t>M2</t>
        </is>
      </c>
      <c r="B11" s="7" t="n">
        <v>99338.11</v>
      </c>
      <c r="C11" s="7" t="n">
        <v>84548.53999999999</v>
      </c>
      <c r="D11" s="7">
        <f>B11-C11</f>
        <v/>
      </c>
      <c r="E11" s="7" t="n">
        <v>13280</v>
      </c>
      <c r="F11" s="7">
        <f>C11+E11</f>
        <v/>
      </c>
      <c r="G11" s="7">
        <f>B11-F11</f>
        <v/>
      </c>
      <c r="H11" s="7">
        <f>H10+G11</f>
        <v/>
      </c>
    </row>
    <row r="12">
      <c r="A12" s="9" t="inlineStr">
        <is>
          <t>M3</t>
        </is>
      </c>
      <c r="B12" s="10" t="n">
        <v>122620.48</v>
      </c>
      <c r="C12" s="10" t="n">
        <v>84548.53999999999</v>
      </c>
      <c r="D12" s="10">
        <f>B12-C12</f>
        <v/>
      </c>
      <c r="E12" s="10" t="n">
        <v>13480</v>
      </c>
      <c r="F12" s="10">
        <f>C12+E12</f>
        <v/>
      </c>
      <c r="G12" s="10">
        <f>B12-F12</f>
        <v/>
      </c>
      <c r="H12" s="10">
        <f>H11+G12</f>
        <v/>
      </c>
    </row>
    <row r="13">
      <c r="A13" s="6" t="inlineStr">
        <is>
          <t>M4</t>
        </is>
      </c>
      <c r="B13" s="7" t="n">
        <v>144350.69</v>
      </c>
      <c r="C13" s="7" t="n">
        <v>84548.53999999999</v>
      </c>
      <c r="D13" s="7">
        <f>B13-C13</f>
        <v/>
      </c>
      <c r="E13" s="7" t="n">
        <v>13680</v>
      </c>
      <c r="F13" s="7">
        <f>C13+E13</f>
        <v/>
      </c>
      <c r="G13" s="7">
        <f>B13-F13</f>
        <v/>
      </c>
      <c r="H13" s="7">
        <f>H12+G13</f>
        <v/>
      </c>
    </row>
    <row r="14">
      <c r="A14" s="9" t="inlineStr">
        <is>
          <t>M5</t>
        </is>
      </c>
      <c r="B14" s="10" t="n">
        <v>155215.8</v>
      </c>
      <c r="C14" s="10" t="n">
        <v>84654.10000000001</v>
      </c>
      <c r="D14" s="10">
        <f>B14-C14</f>
        <v/>
      </c>
      <c r="E14" s="10" t="n">
        <v>13980</v>
      </c>
      <c r="F14" s="10">
        <f>C14+E14</f>
        <v/>
      </c>
      <c r="G14" s="10">
        <f>B14-F14</f>
        <v/>
      </c>
      <c r="H14" s="10">
        <f>H13+G14</f>
        <v/>
      </c>
    </row>
    <row r="15">
      <c r="A15" s="6" t="inlineStr">
        <is>
          <t>M6</t>
        </is>
      </c>
      <c r="B15" s="7" t="n">
        <v>155215.8</v>
      </c>
      <c r="C15" s="7" t="n">
        <v>84654.10000000001</v>
      </c>
      <c r="D15" s="7">
        <f>B15-C15</f>
        <v/>
      </c>
      <c r="E15" s="7" t="n">
        <v>13980</v>
      </c>
      <c r="F15" s="7">
        <f>C15+E15</f>
        <v/>
      </c>
      <c r="G15" s="7">
        <f>B15-F15</f>
        <v/>
      </c>
      <c r="H15" s="7">
        <f>H14+G15</f>
        <v/>
      </c>
    </row>
    <row r="16">
      <c r="A16" s="9" t="inlineStr">
        <is>
          <t>M7</t>
        </is>
      </c>
      <c r="B16" s="10" t="n">
        <v>155215.8</v>
      </c>
      <c r="C16" s="10" t="n">
        <v>84654.10000000001</v>
      </c>
      <c r="D16" s="10">
        <f>B16-C16</f>
        <v/>
      </c>
      <c r="E16" s="10" t="n">
        <v>13980</v>
      </c>
      <c r="F16" s="10">
        <f>C16+E16</f>
        <v/>
      </c>
      <c r="G16" s="10">
        <f>B16-F16</f>
        <v/>
      </c>
      <c r="H16" s="10">
        <f>H15+G16</f>
        <v/>
      </c>
    </row>
    <row r="17">
      <c r="A17" s="6" t="inlineStr">
        <is>
          <t>M8</t>
        </is>
      </c>
      <c r="B17" s="7" t="n">
        <v>155215.8</v>
      </c>
      <c r="C17" s="7" t="n">
        <v>84654.10000000001</v>
      </c>
      <c r="D17" s="7">
        <f>B17-C17</f>
        <v/>
      </c>
      <c r="E17" s="7" t="n">
        <v>13980</v>
      </c>
      <c r="F17" s="7">
        <f>C17+E17</f>
        <v/>
      </c>
      <c r="G17" s="7">
        <f>B17-F17</f>
        <v/>
      </c>
      <c r="H17" s="7">
        <f>H16+G17</f>
        <v/>
      </c>
    </row>
    <row r="18">
      <c r="A18" s="9" t="inlineStr">
        <is>
          <t>M9</t>
        </is>
      </c>
      <c r="B18" s="10" t="n">
        <v>155215.8</v>
      </c>
      <c r="C18" s="10" t="n">
        <v>84654.10000000001</v>
      </c>
      <c r="D18" s="10">
        <f>B18-C18</f>
        <v/>
      </c>
      <c r="E18" s="10" t="n">
        <v>13980</v>
      </c>
      <c r="F18" s="10">
        <f>C18+E18</f>
        <v/>
      </c>
      <c r="G18" s="10">
        <f>B18-F18</f>
        <v/>
      </c>
      <c r="H18" s="10">
        <f>H17+G18</f>
        <v/>
      </c>
    </row>
    <row r="19">
      <c r="A19" s="6" t="inlineStr">
        <is>
          <t>M10</t>
        </is>
      </c>
      <c r="B19" s="7" t="n">
        <v>155215.8</v>
      </c>
      <c r="C19" s="7" t="n">
        <v>84654.10000000001</v>
      </c>
      <c r="D19" s="7">
        <f>B19-C19</f>
        <v/>
      </c>
      <c r="E19" s="7" t="n">
        <v>13980</v>
      </c>
      <c r="F19" s="7">
        <f>C19+E19</f>
        <v/>
      </c>
      <c r="G19" s="7">
        <f>B19-F19</f>
        <v/>
      </c>
      <c r="H19" s="7">
        <f>H18+G19</f>
        <v/>
      </c>
    </row>
    <row r="20">
      <c r="A20" s="9" t="inlineStr">
        <is>
          <t>M11</t>
        </is>
      </c>
      <c r="B20" s="10" t="n">
        <v>155215.8</v>
      </c>
      <c r="C20" s="10" t="n">
        <v>84654.10000000001</v>
      </c>
      <c r="D20" s="10">
        <f>B20-C20</f>
        <v/>
      </c>
      <c r="E20" s="10" t="n">
        <v>13980</v>
      </c>
      <c r="F20" s="10">
        <f>C20+E20</f>
        <v/>
      </c>
      <c r="G20" s="10">
        <f>B20-F20</f>
        <v/>
      </c>
      <c r="H20" s="10">
        <f>H19+G20</f>
        <v/>
      </c>
    </row>
    <row r="21">
      <c r="A21" s="6" t="inlineStr">
        <is>
          <t>M12</t>
        </is>
      </c>
      <c r="B21" s="7" t="n">
        <v>155215.8</v>
      </c>
      <c r="C21" s="7" t="n">
        <v>84654.10000000001</v>
      </c>
      <c r="D21" s="7">
        <f>B21-C21</f>
        <v/>
      </c>
      <c r="E21" s="7" t="n">
        <v>13980</v>
      </c>
      <c r="F21" s="7">
        <f>C21+E21</f>
        <v/>
      </c>
      <c r="G21" s="7">
        <f>B21-F21</f>
        <v/>
      </c>
      <c r="H21" s="7">
        <f>H20+G21</f>
        <v/>
      </c>
    </row>
    <row r="22">
      <c r="A22" s="9" t="inlineStr">
        <is>
          <t>M13</t>
        </is>
      </c>
      <c r="B22" s="10" t="n">
        <v>155215.8</v>
      </c>
      <c r="C22" s="10" t="n">
        <v>84654.10000000001</v>
      </c>
      <c r="D22" s="10">
        <f>B22-C22</f>
        <v/>
      </c>
      <c r="E22" s="10" t="n">
        <v>13980</v>
      </c>
      <c r="F22" s="10">
        <f>C22+E22</f>
        <v/>
      </c>
      <c r="G22" s="10">
        <f>B22-F22</f>
        <v/>
      </c>
      <c r="H22" s="10">
        <f>H21+G22</f>
        <v/>
      </c>
    </row>
    <row r="23">
      <c r="A23" s="6" t="inlineStr">
        <is>
          <t>M14</t>
        </is>
      </c>
      <c r="B23" s="7" t="n">
        <v>155215.8</v>
      </c>
      <c r="C23" s="7" t="n">
        <v>84654.10000000001</v>
      </c>
      <c r="D23" s="7">
        <f>B23-C23</f>
        <v/>
      </c>
      <c r="E23" s="7" t="n">
        <v>13980</v>
      </c>
      <c r="F23" s="7">
        <f>C23+E23</f>
        <v/>
      </c>
      <c r="G23" s="7">
        <f>B23-F23</f>
        <v/>
      </c>
      <c r="H23" s="7">
        <f>H22+G23</f>
        <v/>
      </c>
    </row>
    <row r="24">
      <c r="A24" s="9" t="inlineStr">
        <is>
          <t>M15</t>
        </is>
      </c>
      <c r="B24" s="10" t="n">
        <v>155215.8</v>
      </c>
      <c r="C24" s="10" t="n">
        <v>84654.10000000001</v>
      </c>
      <c r="D24" s="10">
        <f>B24-C24</f>
        <v/>
      </c>
      <c r="E24" s="10" t="n">
        <v>13980</v>
      </c>
      <c r="F24" s="10">
        <f>C24+E24</f>
        <v/>
      </c>
      <c r="G24" s="10">
        <f>B24-F24</f>
        <v/>
      </c>
      <c r="H24" s="10">
        <f>H23+G24</f>
        <v/>
      </c>
    </row>
    <row r="25">
      <c r="A25" s="6" t="inlineStr">
        <is>
          <t>M16</t>
        </is>
      </c>
      <c r="B25" s="7" t="n">
        <v>155215.8</v>
      </c>
      <c r="C25" s="7" t="n">
        <v>84654.10000000001</v>
      </c>
      <c r="D25" s="7">
        <f>B25-C25</f>
        <v/>
      </c>
      <c r="E25" s="7" t="n">
        <v>13980</v>
      </c>
      <c r="F25" s="7">
        <f>C25+E25</f>
        <v/>
      </c>
      <c r="G25" s="7">
        <f>B25-F25</f>
        <v/>
      </c>
      <c r="H25" s="7">
        <f>H24+G25</f>
        <v/>
      </c>
    </row>
    <row r="26">
      <c r="A26" s="9" t="inlineStr">
        <is>
          <t>M17</t>
        </is>
      </c>
      <c r="B26" s="10" t="n">
        <v>155215.8</v>
      </c>
      <c r="C26" s="10" t="n">
        <v>84654.10000000001</v>
      </c>
      <c r="D26" s="10">
        <f>B26-C26</f>
        <v/>
      </c>
      <c r="E26" s="10" t="n">
        <v>13980</v>
      </c>
      <c r="F26" s="10">
        <f>C26+E26</f>
        <v/>
      </c>
      <c r="G26" s="10">
        <f>B26-F26</f>
        <v/>
      </c>
      <c r="H26" s="10">
        <f>H25+G26</f>
        <v/>
      </c>
    </row>
    <row r="27">
      <c r="A27" s="6" t="inlineStr">
        <is>
          <t>M18</t>
        </is>
      </c>
      <c r="B27" s="7" t="n">
        <v>155215.8</v>
      </c>
      <c r="C27" s="7" t="n">
        <v>84654.10000000001</v>
      </c>
      <c r="D27" s="7">
        <f>B27-C27</f>
        <v/>
      </c>
      <c r="E27" s="7" t="n">
        <v>13980</v>
      </c>
      <c r="F27" s="7">
        <f>C27+E27</f>
        <v/>
      </c>
      <c r="G27" s="7">
        <f>B27-F27</f>
        <v/>
      </c>
      <c r="H27" s="7">
        <f>H26+G27</f>
        <v/>
      </c>
    </row>
    <row r="28">
      <c r="A28" s="9" t="inlineStr">
        <is>
          <t>M19</t>
        </is>
      </c>
      <c r="B28" s="10" t="n">
        <v>155215.8</v>
      </c>
      <c r="C28" s="10" t="n">
        <v>84654.10000000001</v>
      </c>
      <c r="D28" s="10">
        <f>B28-C28</f>
        <v/>
      </c>
      <c r="E28" s="10" t="n">
        <v>13980</v>
      </c>
      <c r="F28" s="10">
        <f>C28+E28</f>
        <v/>
      </c>
      <c r="G28" s="10">
        <f>B28-F28</f>
        <v/>
      </c>
      <c r="H28" s="10">
        <f>H27+G28</f>
        <v/>
      </c>
    </row>
    <row r="29">
      <c r="A29" s="6" t="inlineStr">
        <is>
          <t>M20</t>
        </is>
      </c>
      <c r="B29" s="7" t="n">
        <v>155215.8</v>
      </c>
      <c r="C29" s="7" t="n">
        <v>84654.10000000001</v>
      </c>
      <c r="D29" s="7">
        <f>B29-C29</f>
        <v/>
      </c>
      <c r="E29" s="7" t="n">
        <v>13980</v>
      </c>
      <c r="F29" s="7">
        <f>C29+E29</f>
        <v/>
      </c>
      <c r="G29" s="7">
        <f>B29-F29</f>
        <v/>
      </c>
      <c r="H29" s="7">
        <f>H28+G29</f>
        <v/>
      </c>
    </row>
    <row r="30">
      <c r="A30" s="9" t="inlineStr">
        <is>
          <t>M21</t>
        </is>
      </c>
      <c r="B30" s="10" t="n">
        <v>155215.8</v>
      </c>
      <c r="C30" s="10" t="n">
        <v>84654.10000000001</v>
      </c>
      <c r="D30" s="10">
        <f>B30-C30</f>
        <v/>
      </c>
      <c r="E30" s="10" t="n">
        <v>13980</v>
      </c>
      <c r="F30" s="10">
        <f>C30+E30</f>
        <v/>
      </c>
      <c r="G30" s="10">
        <f>B30-F30</f>
        <v/>
      </c>
      <c r="H30" s="10">
        <f>H29+G30</f>
        <v/>
      </c>
    </row>
    <row r="31">
      <c r="A31" s="6" t="inlineStr">
        <is>
          <t>M22</t>
        </is>
      </c>
      <c r="B31" s="7" t="n">
        <v>155215.8</v>
      </c>
      <c r="C31" s="7" t="n">
        <v>84654.10000000001</v>
      </c>
      <c r="D31" s="7">
        <f>B31-C31</f>
        <v/>
      </c>
      <c r="E31" s="7" t="n">
        <v>13980</v>
      </c>
      <c r="F31" s="7">
        <f>C31+E31</f>
        <v/>
      </c>
      <c r="G31" s="7">
        <f>B31-F31</f>
        <v/>
      </c>
      <c r="H31" s="7">
        <f>H30+G31</f>
        <v/>
      </c>
    </row>
    <row r="32">
      <c r="A32" s="9" t="inlineStr">
        <is>
          <t>M23</t>
        </is>
      </c>
      <c r="B32" s="10" t="n">
        <v>155215.8</v>
      </c>
      <c r="C32" s="10" t="n">
        <v>84654.10000000001</v>
      </c>
      <c r="D32" s="10">
        <f>B32-C32</f>
        <v/>
      </c>
      <c r="E32" s="10" t="n">
        <v>13980</v>
      </c>
      <c r="F32" s="10">
        <f>C32+E32</f>
        <v/>
      </c>
      <c r="G32" s="10">
        <f>B32-F32</f>
        <v/>
      </c>
      <c r="H32" s="10">
        <f>H31+G32</f>
        <v/>
      </c>
    </row>
    <row r="33">
      <c r="A33" s="6" t="inlineStr">
        <is>
          <t>M24</t>
        </is>
      </c>
      <c r="B33" s="7" t="n">
        <v>155215.8</v>
      </c>
      <c r="C33" s="7" t="n">
        <v>84654.10000000001</v>
      </c>
      <c r="D33" s="7">
        <f>B33-C33</f>
        <v/>
      </c>
      <c r="E33" s="7" t="n">
        <v>13980</v>
      </c>
      <c r="F33" s="7">
        <f>C33+E33</f>
        <v/>
      </c>
      <c r="G33" s="7">
        <f>B33-F33</f>
        <v/>
      </c>
      <c r="H33" s="7">
        <f>H32+G33</f>
        <v/>
      </c>
    </row>
    <row r="34">
      <c r="A34" s="19" t="inlineStr">
        <is>
          <t>24-MONTH TOTAL</t>
        </is>
      </c>
      <c r="B34" s="20">
        <f>SUM(B10:B33)</f>
        <v/>
      </c>
      <c r="C34" s="20">
        <f>SUM(C10:C33)</f>
        <v/>
      </c>
      <c r="D34" s="20">
        <f>SUM(D10:D33)</f>
        <v/>
      </c>
      <c r="E34" s="20">
        <f>SUM(E10:E33)</f>
        <v/>
      </c>
      <c r="F34" s="20">
        <f>SUM(F10:F33)</f>
        <v/>
      </c>
      <c r="G34" s="20">
        <f>SUM(G10:G33)</f>
        <v/>
      </c>
      <c r="H34" s="20">
        <f>H33</f>
        <v/>
      </c>
    </row>
    <row r="36" ht="20" customHeight="1">
      <c r="A36" s="4" t="inlineStr">
        <is>
          <t>Table 2 (12 clients/day) — 24-Month P&amp;L</t>
        </is>
      </c>
    </row>
    <row r="37">
      <c r="A37" s="5" t="inlineStr">
        <is>
          <t>Month</t>
        </is>
      </c>
      <c r="B37" s="5" t="inlineStr">
        <is>
          <t>Revenue</t>
        </is>
      </c>
      <c r="C37" s="5" t="inlineStr">
        <is>
          <t>Payroll</t>
        </is>
      </c>
      <c r="D37" s="5" t="inlineStr">
        <is>
          <t>Gross Contribution</t>
        </is>
      </c>
      <c r="E37" s="5" t="inlineStr">
        <is>
          <t>Operating Expenses</t>
        </is>
      </c>
      <c r="F37" s="5" t="inlineStr">
        <is>
          <t>Total Operating Costs</t>
        </is>
      </c>
      <c r="G37" s="5" t="inlineStr">
        <is>
          <t>Net Operating Result</t>
        </is>
      </c>
      <c r="H37" s="5" t="inlineStr">
        <is>
          <t>Cumulative</t>
        </is>
      </c>
    </row>
    <row r="38">
      <c r="A38" s="9" t="inlineStr">
        <is>
          <t>M1</t>
        </is>
      </c>
      <c r="B38" s="10" t="n">
        <v>49759.94</v>
      </c>
      <c r="C38" s="10" t="n">
        <v>80578.60000000001</v>
      </c>
      <c r="D38" s="10">
        <f>B38-C38</f>
        <v/>
      </c>
      <c r="E38" s="10" t="n">
        <v>13080</v>
      </c>
      <c r="F38" s="10">
        <f>C38+E38</f>
        <v/>
      </c>
      <c r="G38" s="10">
        <f>B38-F38</f>
        <v/>
      </c>
      <c r="H38" s="10">
        <f>G38</f>
        <v/>
      </c>
    </row>
    <row r="39">
      <c r="A39" s="6" t="inlineStr">
        <is>
          <t>M2</t>
        </is>
      </c>
      <c r="B39" s="7" t="n">
        <v>74061.31</v>
      </c>
      <c r="C39" s="7" t="n">
        <v>80578.60000000001</v>
      </c>
      <c r="D39" s="7">
        <f>B39-C39</f>
        <v/>
      </c>
      <c r="E39" s="7" t="n">
        <v>13280</v>
      </c>
      <c r="F39" s="7">
        <f>C39+E39</f>
        <v/>
      </c>
      <c r="G39" s="7">
        <f>B39-F39</f>
        <v/>
      </c>
      <c r="H39" s="7">
        <f>H38+G39</f>
        <v/>
      </c>
    </row>
    <row r="40">
      <c r="A40" s="9" t="inlineStr">
        <is>
          <t>M3</t>
        </is>
      </c>
      <c r="B40" s="10" t="n">
        <v>91419.42999999999</v>
      </c>
      <c r="C40" s="10" t="n">
        <v>80578.60000000001</v>
      </c>
      <c r="D40" s="10">
        <f>B40-C40</f>
        <v/>
      </c>
      <c r="E40" s="10" t="n">
        <v>13480</v>
      </c>
      <c r="F40" s="10">
        <f>C40+E40</f>
        <v/>
      </c>
      <c r="G40" s="10">
        <f>B40-F40</f>
        <v/>
      </c>
      <c r="H40" s="10">
        <f>H39+G40</f>
        <v/>
      </c>
    </row>
    <row r="41">
      <c r="A41" s="6" t="inlineStr">
        <is>
          <t>M4</t>
        </is>
      </c>
      <c r="B41" s="7" t="n">
        <v>107620.34</v>
      </c>
      <c r="C41" s="7" t="n">
        <v>80578.60000000001</v>
      </c>
      <c r="D41" s="7">
        <f>B41-C41</f>
        <v/>
      </c>
      <c r="E41" s="7" t="n">
        <v>13680</v>
      </c>
      <c r="F41" s="7">
        <f>C41+E41</f>
        <v/>
      </c>
      <c r="G41" s="7">
        <f>B41-F41</f>
        <v/>
      </c>
      <c r="H41" s="7">
        <f>H40+G41</f>
        <v/>
      </c>
    </row>
    <row r="42">
      <c r="A42" s="9" t="inlineStr">
        <is>
          <t>M5</t>
        </is>
      </c>
      <c r="B42" s="10" t="n">
        <v>115720.8</v>
      </c>
      <c r="C42" s="10" t="n">
        <v>80684.16</v>
      </c>
      <c r="D42" s="10">
        <f>B42-C42</f>
        <v/>
      </c>
      <c r="E42" s="10" t="n">
        <v>13980</v>
      </c>
      <c r="F42" s="10">
        <f>C42+E42</f>
        <v/>
      </c>
      <c r="G42" s="10">
        <f>B42-F42</f>
        <v/>
      </c>
      <c r="H42" s="10">
        <f>H41+G42</f>
        <v/>
      </c>
    </row>
    <row r="43">
      <c r="A43" s="6" t="inlineStr">
        <is>
          <t>M6</t>
        </is>
      </c>
      <c r="B43" s="7" t="n">
        <v>115720.8</v>
      </c>
      <c r="C43" s="7" t="n">
        <v>80684.16</v>
      </c>
      <c r="D43" s="7">
        <f>B43-C43</f>
        <v/>
      </c>
      <c r="E43" s="7" t="n">
        <v>13980</v>
      </c>
      <c r="F43" s="7">
        <f>C43+E43</f>
        <v/>
      </c>
      <c r="G43" s="7">
        <f>B43-F43</f>
        <v/>
      </c>
      <c r="H43" s="7">
        <f>H42+G43</f>
        <v/>
      </c>
    </row>
    <row r="44">
      <c r="A44" s="9" t="inlineStr">
        <is>
          <t>M7</t>
        </is>
      </c>
      <c r="B44" s="10" t="n">
        <v>115720.8</v>
      </c>
      <c r="C44" s="10" t="n">
        <v>80684.16</v>
      </c>
      <c r="D44" s="10">
        <f>B44-C44</f>
        <v/>
      </c>
      <c r="E44" s="10" t="n">
        <v>13980</v>
      </c>
      <c r="F44" s="10">
        <f>C44+E44</f>
        <v/>
      </c>
      <c r="G44" s="10">
        <f>B44-F44</f>
        <v/>
      </c>
      <c r="H44" s="10">
        <f>H43+G44</f>
        <v/>
      </c>
    </row>
    <row r="45">
      <c r="A45" s="6" t="inlineStr">
        <is>
          <t>M8</t>
        </is>
      </c>
      <c r="B45" s="7" t="n">
        <v>115720.8</v>
      </c>
      <c r="C45" s="7" t="n">
        <v>80684.16</v>
      </c>
      <c r="D45" s="7">
        <f>B45-C45</f>
        <v/>
      </c>
      <c r="E45" s="7" t="n">
        <v>13980</v>
      </c>
      <c r="F45" s="7">
        <f>C45+E45</f>
        <v/>
      </c>
      <c r="G45" s="7">
        <f>B45-F45</f>
        <v/>
      </c>
      <c r="H45" s="7">
        <f>H44+G45</f>
        <v/>
      </c>
    </row>
    <row r="46">
      <c r="A46" s="9" t="inlineStr">
        <is>
          <t>M9</t>
        </is>
      </c>
      <c r="B46" s="10" t="n">
        <v>115720.8</v>
      </c>
      <c r="C46" s="10" t="n">
        <v>80684.16</v>
      </c>
      <c r="D46" s="10">
        <f>B46-C46</f>
        <v/>
      </c>
      <c r="E46" s="10" t="n">
        <v>13980</v>
      </c>
      <c r="F46" s="10">
        <f>C46+E46</f>
        <v/>
      </c>
      <c r="G46" s="10">
        <f>B46-F46</f>
        <v/>
      </c>
      <c r="H46" s="10">
        <f>H45+G46</f>
        <v/>
      </c>
    </row>
    <row r="47">
      <c r="A47" s="6" t="inlineStr">
        <is>
          <t>M10</t>
        </is>
      </c>
      <c r="B47" s="7" t="n">
        <v>115720.8</v>
      </c>
      <c r="C47" s="7" t="n">
        <v>80684.16</v>
      </c>
      <c r="D47" s="7">
        <f>B47-C47</f>
        <v/>
      </c>
      <c r="E47" s="7" t="n">
        <v>13980</v>
      </c>
      <c r="F47" s="7">
        <f>C47+E47</f>
        <v/>
      </c>
      <c r="G47" s="7">
        <f>B47-F47</f>
        <v/>
      </c>
      <c r="H47" s="7">
        <f>H46+G47</f>
        <v/>
      </c>
    </row>
    <row r="48">
      <c r="A48" s="9" t="inlineStr">
        <is>
          <t>M11</t>
        </is>
      </c>
      <c r="B48" s="10" t="n">
        <v>115720.8</v>
      </c>
      <c r="C48" s="10" t="n">
        <v>80684.16</v>
      </c>
      <c r="D48" s="10">
        <f>B48-C48</f>
        <v/>
      </c>
      <c r="E48" s="10" t="n">
        <v>13980</v>
      </c>
      <c r="F48" s="10">
        <f>C48+E48</f>
        <v/>
      </c>
      <c r="G48" s="10">
        <f>B48-F48</f>
        <v/>
      </c>
      <c r="H48" s="10">
        <f>H47+G48</f>
        <v/>
      </c>
    </row>
    <row r="49">
      <c r="A49" s="6" t="inlineStr">
        <is>
          <t>M12</t>
        </is>
      </c>
      <c r="B49" s="7" t="n">
        <v>115720.8</v>
      </c>
      <c r="C49" s="7" t="n">
        <v>80684.16</v>
      </c>
      <c r="D49" s="7">
        <f>B49-C49</f>
        <v/>
      </c>
      <c r="E49" s="7" t="n">
        <v>13980</v>
      </c>
      <c r="F49" s="7">
        <f>C49+E49</f>
        <v/>
      </c>
      <c r="G49" s="7">
        <f>B49-F49</f>
        <v/>
      </c>
      <c r="H49" s="7">
        <f>H48+G49</f>
        <v/>
      </c>
    </row>
    <row r="50">
      <c r="A50" s="9" t="inlineStr">
        <is>
          <t>M13</t>
        </is>
      </c>
      <c r="B50" s="10" t="n">
        <v>115720.8</v>
      </c>
      <c r="C50" s="10" t="n">
        <v>80684.16</v>
      </c>
      <c r="D50" s="10">
        <f>B50-C50</f>
        <v/>
      </c>
      <c r="E50" s="10" t="n">
        <v>13980</v>
      </c>
      <c r="F50" s="10">
        <f>C50+E50</f>
        <v/>
      </c>
      <c r="G50" s="10">
        <f>B50-F50</f>
        <v/>
      </c>
      <c r="H50" s="10">
        <f>H49+G50</f>
        <v/>
      </c>
    </row>
    <row r="51">
      <c r="A51" s="6" t="inlineStr">
        <is>
          <t>M14</t>
        </is>
      </c>
      <c r="B51" s="7" t="n">
        <v>115720.8</v>
      </c>
      <c r="C51" s="7" t="n">
        <v>80684.16</v>
      </c>
      <c r="D51" s="7">
        <f>B51-C51</f>
        <v/>
      </c>
      <c r="E51" s="7" t="n">
        <v>13980</v>
      </c>
      <c r="F51" s="7">
        <f>C51+E51</f>
        <v/>
      </c>
      <c r="G51" s="7">
        <f>B51-F51</f>
        <v/>
      </c>
      <c r="H51" s="7">
        <f>H50+G51</f>
        <v/>
      </c>
    </row>
    <row r="52">
      <c r="A52" s="9" t="inlineStr">
        <is>
          <t>M15</t>
        </is>
      </c>
      <c r="B52" s="10" t="n">
        <v>115720.8</v>
      </c>
      <c r="C52" s="10" t="n">
        <v>80684.16</v>
      </c>
      <c r="D52" s="10">
        <f>B52-C52</f>
        <v/>
      </c>
      <c r="E52" s="10" t="n">
        <v>13980</v>
      </c>
      <c r="F52" s="10">
        <f>C52+E52</f>
        <v/>
      </c>
      <c r="G52" s="10">
        <f>B52-F52</f>
        <v/>
      </c>
      <c r="H52" s="10">
        <f>H51+G52</f>
        <v/>
      </c>
    </row>
    <row r="53">
      <c r="A53" s="6" t="inlineStr">
        <is>
          <t>M16</t>
        </is>
      </c>
      <c r="B53" s="7" t="n">
        <v>115720.8</v>
      </c>
      <c r="C53" s="7" t="n">
        <v>80684.16</v>
      </c>
      <c r="D53" s="7">
        <f>B53-C53</f>
        <v/>
      </c>
      <c r="E53" s="7" t="n">
        <v>13980</v>
      </c>
      <c r="F53" s="7">
        <f>C53+E53</f>
        <v/>
      </c>
      <c r="G53" s="7">
        <f>B53-F53</f>
        <v/>
      </c>
      <c r="H53" s="7">
        <f>H52+G53</f>
        <v/>
      </c>
    </row>
    <row r="54">
      <c r="A54" s="9" t="inlineStr">
        <is>
          <t>M17</t>
        </is>
      </c>
      <c r="B54" s="10" t="n">
        <v>115720.8</v>
      </c>
      <c r="C54" s="10" t="n">
        <v>80684.16</v>
      </c>
      <c r="D54" s="10">
        <f>B54-C54</f>
        <v/>
      </c>
      <c r="E54" s="10" t="n">
        <v>13980</v>
      </c>
      <c r="F54" s="10">
        <f>C54+E54</f>
        <v/>
      </c>
      <c r="G54" s="10">
        <f>B54-F54</f>
        <v/>
      </c>
      <c r="H54" s="10">
        <f>H53+G54</f>
        <v/>
      </c>
    </row>
    <row r="55">
      <c r="A55" s="6" t="inlineStr">
        <is>
          <t>M18</t>
        </is>
      </c>
      <c r="B55" s="7" t="n">
        <v>115720.8</v>
      </c>
      <c r="C55" s="7" t="n">
        <v>80684.16</v>
      </c>
      <c r="D55" s="7">
        <f>B55-C55</f>
        <v/>
      </c>
      <c r="E55" s="7" t="n">
        <v>13980</v>
      </c>
      <c r="F55" s="7">
        <f>C55+E55</f>
        <v/>
      </c>
      <c r="G55" s="7">
        <f>B55-F55</f>
        <v/>
      </c>
      <c r="H55" s="7">
        <f>H54+G55</f>
        <v/>
      </c>
    </row>
    <row r="56">
      <c r="A56" s="9" t="inlineStr">
        <is>
          <t>M19</t>
        </is>
      </c>
      <c r="B56" s="10" t="n">
        <v>115720.8</v>
      </c>
      <c r="C56" s="10" t="n">
        <v>80684.16</v>
      </c>
      <c r="D56" s="10">
        <f>B56-C56</f>
        <v/>
      </c>
      <c r="E56" s="10" t="n">
        <v>13980</v>
      </c>
      <c r="F56" s="10">
        <f>C56+E56</f>
        <v/>
      </c>
      <c r="G56" s="10">
        <f>B56-F56</f>
        <v/>
      </c>
      <c r="H56" s="10">
        <f>H55+G56</f>
        <v/>
      </c>
    </row>
    <row r="57">
      <c r="A57" s="6" t="inlineStr">
        <is>
          <t>M20</t>
        </is>
      </c>
      <c r="B57" s="7" t="n">
        <v>115720.8</v>
      </c>
      <c r="C57" s="7" t="n">
        <v>80684.16</v>
      </c>
      <c r="D57" s="7">
        <f>B57-C57</f>
        <v/>
      </c>
      <c r="E57" s="7" t="n">
        <v>13980</v>
      </c>
      <c r="F57" s="7">
        <f>C57+E57</f>
        <v/>
      </c>
      <c r="G57" s="7">
        <f>B57-F57</f>
        <v/>
      </c>
      <c r="H57" s="7">
        <f>H56+G57</f>
        <v/>
      </c>
    </row>
    <row r="58">
      <c r="A58" s="9" t="inlineStr">
        <is>
          <t>M21</t>
        </is>
      </c>
      <c r="B58" s="10" t="n">
        <v>115720.8</v>
      </c>
      <c r="C58" s="10" t="n">
        <v>80684.16</v>
      </c>
      <c r="D58" s="10">
        <f>B58-C58</f>
        <v/>
      </c>
      <c r="E58" s="10" t="n">
        <v>13980</v>
      </c>
      <c r="F58" s="10">
        <f>C58+E58</f>
        <v/>
      </c>
      <c r="G58" s="10">
        <f>B58-F58</f>
        <v/>
      </c>
      <c r="H58" s="10">
        <f>H57+G58</f>
        <v/>
      </c>
    </row>
    <row r="59">
      <c r="A59" s="6" t="inlineStr">
        <is>
          <t>M22</t>
        </is>
      </c>
      <c r="B59" s="7" t="n">
        <v>115720.8</v>
      </c>
      <c r="C59" s="7" t="n">
        <v>80684.16</v>
      </c>
      <c r="D59" s="7">
        <f>B59-C59</f>
        <v/>
      </c>
      <c r="E59" s="7" t="n">
        <v>13980</v>
      </c>
      <c r="F59" s="7">
        <f>C59+E59</f>
        <v/>
      </c>
      <c r="G59" s="7">
        <f>B59-F59</f>
        <v/>
      </c>
      <c r="H59" s="7">
        <f>H58+G59</f>
        <v/>
      </c>
    </row>
    <row r="60">
      <c r="A60" s="9" t="inlineStr">
        <is>
          <t>M23</t>
        </is>
      </c>
      <c r="B60" s="10" t="n">
        <v>115720.8</v>
      </c>
      <c r="C60" s="10" t="n">
        <v>80684.16</v>
      </c>
      <c r="D60" s="10">
        <f>B60-C60</f>
        <v/>
      </c>
      <c r="E60" s="10" t="n">
        <v>13980</v>
      </c>
      <c r="F60" s="10">
        <f>C60+E60</f>
        <v/>
      </c>
      <c r="G60" s="10">
        <f>B60-F60</f>
        <v/>
      </c>
      <c r="H60" s="10">
        <f>H59+G60</f>
        <v/>
      </c>
    </row>
    <row r="61">
      <c r="A61" s="6" t="inlineStr">
        <is>
          <t>M24</t>
        </is>
      </c>
      <c r="B61" s="7" t="n">
        <v>115720.8</v>
      </c>
      <c r="C61" s="7" t="n">
        <v>80684.16</v>
      </c>
      <c r="D61" s="7">
        <f>B61-C61</f>
        <v/>
      </c>
      <c r="E61" s="7" t="n">
        <v>13980</v>
      </c>
      <c r="F61" s="7">
        <f>C61+E61</f>
        <v/>
      </c>
      <c r="G61" s="7">
        <f>B61-F61</f>
        <v/>
      </c>
      <c r="H61" s="7">
        <f>H60+G61</f>
        <v/>
      </c>
    </row>
    <row r="62">
      <c r="A62" s="19" t="inlineStr">
        <is>
          <t>24-MONTH TOTAL</t>
        </is>
      </c>
      <c r="B62" s="20">
        <f>SUM(B38:B61)</f>
        <v/>
      </c>
      <c r="C62" s="20">
        <f>SUM(C38:C61)</f>
        <v/>
      </c>
      <c r="D62" s="20">
        <f>SUM(D38:D61)</f>
        <v/>
      </c>
      <c r="E62" s="20">
        <f>SUM(E38:E61)</f>
        <v/>
      </c>
      <c r="F62" s="20">
        <f>SUM(F38:F61)</f>
        <v/>
      </c>
      <c r="G62" s="20">
        <f>SUM(G38:G61)</f>
        <v/>
      </c>
      <c r="H62" s="20">
        <f>H61</f>
        <v/>
      </c>
    </row>
  </sheetData>
  <mergeCells count="7">
    <mergeCell ref="A1:H1"/>
    <mergeCell ref="A4:H4"/>
    <mergeCell ref="A3:H3"/>
    <mergeCell ref="A36:H36"/>
    <mergeCell ref="A5:H5"/>
    <mergeCell ref="A8:H8"/>
    <mergeCell ref="A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40" customWidth="1" min="4" max="4"/>
  </cols>
  <sheetData>
    <row r="1" ht="28" customHeight="1">
      <c r="A1" s="1" t="inlineStr">
        <is>
          <t>Cash Flow — Operating Basis Only</t>
        </is>
      </c>
    </row>
    <row r="3" ht="15" customHeight="1">
      <c r="A3" s="3" t="inlineStr">
        <is>
          <t>IMPORTANT: this is an OPERATING-CASH-basis view only (net operating result used as an accrual-basis proxy</t>
        </is>
      </c>
    </row>
    <row r="4" ht="15" customHeight="1">
      <c r="A4" s="3" t="inlineStr">
        <is>
          <t>for cash — NOT a true cash-basis forecast, since no debtor/creditor timing data exists anywhere in this repo).</t>
        </is>
      </c>
    </row>
    <row r="5" ht="15" customHeight="1">
      <c r="A5" s="3" t="inlineStr">
        <is>
          <t>This is NOT a complete funding schedule — it EXCLUDES startup capital deployment, capex, and any opening</t>
        </is>
      </c>
    </row>
    <row r="6" ht="15" customHeight="1">
      <c r="A6" s="3" t="inlineStr">
        <is>
          <t>cash balance (none assumed — see Sheet 7, Funding Requirement, for the separate, bounded funding range).</t>
        </is>
      </c>
    </row>
    <row r="8" ht="20" customHeight="1">
      <c r="A8" s="4" t="inlineStr">
        <is>
          <t>Table 1 (18 clients/day) — Monthly &amp; Cumulative Operating Cash Position</t>
        </is>
      </c>
    </row>
    <row r="9">
      <c r="A9" s="5" t="inlineStr">
        <is>
          <t>Month</t>
        </is>
      </c>
      <c r="B9" s="5" t="inlineStr">
        <is>
          <t>Net Operating Result (AUD)</t>
        </is>
      </c>
      <c r="C9" s="5" t="inlineStr">
        <is>
          <t>Cumulative Position (AUD)</t>
        </is>
      </c>
      <c r="D9" s="5" t="inlineStr">
        <is>
          <t>Status</t>
        </is>
      </c>
    </row>
    <row r="10">
      <c r="A10" s="9" t="inlineStr">
        <is>
          <t>M1</t>
        </is>
      </c>
      <c r="B10" s="10" t="n">
        <v>-30885.75</v>
      </c>
      <c r="C10" s="10" t="n">
        <v>-30885.75</v>
      </c>
      <c r="D10" s="11" t="inlineStr">
        <is>
          <t>CALCULATED</t>
        </is>
      </c>
    </row>
    <row r="11">
      <c r="A11" s="6" t="inlineStr">
        <is>
          <t>M2</t>
        </is>
      </c>
      <c r="B11" s="7" t="n">
        <v>1509.57</v>
      </c>
      <c r="C11" s="7" t="n">
        <v>-29376.18</v>
      </c>
      <c r="D11" s="8" t="inlineStr">
        <is>
          <t>CALCULATED</t>
        </is>
      </c>
    </row>
    <row r="12">
      <c r="A12" s="9" t="inlineStr">
        <is>
          <t>M3</t>
        </is>
      </c>
      <c r="B12" s="10" t="n">
        <v>24591.94</v>
      </c>
      <c r="C12" s="10" t="n">
        <v>-4784.24</v>
      </c>
      <c r="D12" s="11" t="inlineStr">
        <is>
          <t>CALCULATED</t>
        </is>
      </c>
    </row>
    <row r="13">
      <c r="A13" s="6" t="inlineStr">
        <is>
          <t>M4</t>
        </is>
      </c>
      <c r="B13" s="7" t="n">
        <v>46122.15</v>
      </c>
      <c r="C13" s="7" t="n">
        <v>41337.91</v>
      </c>
      <c r="D13" s="8" t="inlineStr">
        <is>
          <t>CALCULATED</t>
        </is>
      </c>
    </row>
    <row r="14">
      <c r="A14" s="9" t="inlineStr">
        <is>
          <t>M5</t>
        </is>
      </c>
      <c r="B14" s="10" t="n">
        <v>56581.7</v>
      </c>
      <c r="C14" s="10" t="n">
        <v>97919.61</v>
      </c>
      <c r="D14" s="11" t="inlineStr">
        <is>
          <t>CALCULATED</t>
        </is>
      </c>
    </row>
    <row r="15">
      <c r="A15" s="6" t="inlineStr">
        <is>
          <t>M6</t>
        </is>
      </c>
      <c r="B15" s="7" t="n">
        <v>56581.7</v>
      </c>
      <c r="C15" s="7" t="n">
        <v>154501.31</v>
      </c>
      <c r="D15" s="8" t="inlineStr">
        <is>
          <t>CALCULATED</t>
        </is>
      </c>
    </row>
    <row r="16">
      <c r="A16" s="9" t="inlineStr">
        <is>
          <t>M7</t>
        </is>
      </c>
      <c r="B16" s="10" t="n">
        <v>56581.7</v>
      </c>
      <c r="C16" s="10" t="n">
        <v>211083.01</v>
      </c>
      <c r="D16" s="11" t="inlineStr">
        <is>
          <t>CALCULATED</t>
        </is>
      </c>
    </row>
    <row r="17">
      <c r="A17" s="6" t="inlineStr">
        <is>
          <t>M8</t>
        </is>
      </c>
      <c r="B17" s="7" t="n">
        <v>56581.7</v>
      </c>
      <c r="C17" s="7" t="n">
        <v>267664.71</v>
      </c>
      <c r="D17" s="8" t="inlineStr">
        <is>
          <t>CALCULATED</t>
        </is>
      </c>
    </row>
    <row r="18">
      <c r="A18" s="9" t="inlineStr">
        <is>
          <t>M9</t>
        </is>
      </c>
      <c r="B18" s="10" t="n">
        <v>56581.7</v>
      </c>
      <c r="C18" s="10" t="n">
        <v>324246.41</v>
      </c>
      <c r="D18" s="11" t="inlineStr">
        <is>
          <t>CALCULATED</t>
        </is>
      </c>
    </row>
    <row r="19">
      <c r="A19" s="6" t="inlineStr">
        <is>
          <t>M10</t>
        </is>
      </c>
      <c r="B19" s="7" t="n">
        <v>56581.7</v>
      </c>
      <c r="C19" s="7" t="n">
        <v>380828.11</v>
      </c>
      <c r="D19" s="8" t="inlineStr">
        <is>
          <t>CALCULATED</t>
        </is>
      </c>
    </row>
    <row r="20">
      <c r="A20" s="9" t="inlineStr">
        <is>
          <t>M11</t>
        </is>
      </c>
      <c r="B20" s="10" t="n">
        <v>56581.7</v>
      </c>
      <c r="C20" s="10" t="n">
        <v>437409.81</v>
      </c>
      <c r="D20" s="11" t="inlineStr">
        <is>
          <t>CALCULATED</t>
        </is>
      </c>
    </row>
    <row r="21">
      <c r="A21" s="6" t="inlineStr">
        <is>
          <t>M12</t>
        </is>
      </c>
      <c r="B21" s="7" t="n">
        <v>56581.7</v>
      </c>
      <c r="C21" s="7" t="n">
        <v>493991.51</v>
      </c>
      <c r="D21" s="8" t="inlineStr">
        <is>
          <t>CALCULATED</t>
        </is>
      </c>
    </row>
    <row r="22">
      <c r="A22" s="9" t="inlineStr">
        <is>
          <t>M13</t>
        </is>
      </c>
      <c r="B22" s="10" t="n">
        <v>56581.7</v>
      </c>
      <c r="C22" s="10" t="n">
        <v>550573.21</v>
      </c>
      <c r="D22" s="11" t="inlineStr">
        <is>
          <t>CALCULATED</t>
        </is>
      </c>
    </row>
    <row r="23">
      <c r="A23" s="6" t="inlineStr">
        <is>
          <t>M14</t>
        </is>
      </c>
      <c r="B23" s="7" t="n">
        <v>56581.7</v>
      </c>
      <c r="C23" s="7" t="n">
        <v>607154.91</v>
      </c>
      <c r="D23" s="8" t="inlineStr">
        <is>
          <t>CALCULATED</t>
        </is>
      </c>
    </row>
    <row r="24">
      <c r="A24" s="9" t="inlineStr">
        <is>
          <t>M15</t>
        </is>
      </c>
      <c r="B24" s="10" t="n">
        <v>56581.7</v>
      </c>
      <c r="C24" s="10" t="n">
        <v>663736.61</v>
      </c>
      <c r="D24" s="11" t="inlineStr">
        <is>
          <t>CALCULATED</t>
        </is>
      </c>
    </row>
    <row r="25">
      <c r="A25" s="6" t="inlineStr">
        <is>
          <t>M16</t>
        </is>
      </c>
      <c r="B25" s="7" t="n">
        <v>56581.7</v>
      </c>
      <c r="C25" s="7" t="n">
        <v>720318.3100000001</v>
      </c>
      <c r="D25" s="8" t="inlineStr">
        <is>
          <t>CALCULATED</t>
        </is>
      </c>
    </row>
    <row r="26">
      <c r="A26" s="9" t="inlineStr">
        <is>
          <t>M17</t>
        </is>
      </c>
      <c r="B26" s="10" t="n">
        <v>56581.7</v>
      </c>
      <c r="C26" s="10" t="n">
        <v>776900.01</v>
      </c>
      <c r="D26" s="11" t="inlineStr">
        <is>
          <t>CALCULATED</t>
        </is>
      </c>
    </row>
    <row r="27">
      <c r="A27" s="6" t="inlineStr">
        <is>
          <t>M18</t>
        </is>
      </c>
      <c r="B27" s="7" t="n">
        <v>56581.7</v>
      </c>
      <c r="C27" s="7" t="n">
        <v>833481.71</v>
      </c>
      <c r="D27" s="8" t="inlineStr">
        <is>
          <t>CALCULATED</t>
        </is>
      </c>
    </row>
    <row r="28">
      <c r="A28" s="9" t="inlineStr">
        <is>
          <t>M19</t>
        </is>
      </c>
      <c r="B28" s="10" t="n">
        <v>56581.7</v>
      </c>
      <c r="C28" s="10" t="n">
        <v>890063.41</v>
      </c>
      <c r="D28" s="11" t="inlineStr">
        <is>
          <t>CALCULATED</t>
        </is>
      </c>
    </row>
    <row r="29">
      <c r="A29" s="6" t="inlineStr">
        <is>
          <t>M20</t>
        </is>
      </c>
      <c r="B29" s="7" t="n">
        <v>56581.7</v>
      </c>
      <c r="C29" s="7" t="n">
        <v>946645.11</v>
      </c>
      <c r="D29" s="8" t="inlineStr">
        <is>
          <t>CALCULATED</t>
        </is>
      </c>
    </row>
    <row r="30">
      <c r="A30" s="9" t="inlineStr">
        <is>
          <t>M21</t>
        </is>
      </c>
      <c r="B30" s="10" t="n">
        <v>56581.7</v>
      </c>
      <c r="C30" s="10" t="n">
        <v>1003226.81</v>
      </c>
      <c r="D30" s="11" t="inlineStr">
        <is>
          <t>CALCULATED</t>
        </is>
      </c>
    </row>
    <row r="31">
      <c r="A31" s="6" t="inlineStr">
        <is>
          <t>M22</t>
        </is>
      </c>
      <c r="B31" s="7" t="n">
        <v>56581.7</v>
      </c>
      <c r="C31" s="7" t="n">
        <v>1059808.51</v>
      </c>
      <c r="D31" s="8" t="inlineStr">
        <is>
          <t>CALCULATED</t>
        </is>
      </c>
    </row>
    <row r="32">
      <c r="A32" s="9" t="inlineStr">
        <is>
          <t>M23</t>
        </is>
      </c>
      <c r="B32" s="10" t="n">
        <v>56581.7</v>
      </c>
      <c r="C32" s="10" t="n">
        <v>1116390.21</v>
      </c>
      <c r="D32" s="11" t="inlineStr">
        <is>
          <t>CALCULATED</t>
        </is>
      </c>
    </row>
    <row r="33">
      <c r="A33" s="6" t="inlineStr">
        <is>
          <t>M24</t>
        </is>
      </c>
      <c r="B33" s="7" t="n">
        <v>56581.7</v>
      </c>
      <c r="C33" s="7" t="n">
        <v>1172971.91</v>
      </c>
      <c r="D33" s="8" t="inlineStr">
        <is>
          <t>CALCULATED</t>
        </is>
      </c>
    </row>
    <row r="34">
      <c r="A34" s="21" t="inlineStr">
        <is>
          <t>Operating cash trough: A$-30,885.75 at Month 1</t>
        </is>
      </c>
      <c r="B34" s="21" t="inlineStr"/>
      <c r="C34" s="21" t="inlineStr"/>
      <c r="D34" s="21" t="inlineStr">
        <is>
          <t>OPERATING-CASH-ONLY — NOT the total funding requirement (see Sheet 7)</t>
        </is>
      </c>
    </row>
    <row r="36" ht="20" customHeight="1">
      <c r="A36" s="4" t="inlineStr">
        <is>
          <t>Table 2 (12 clients/day) — Monthly &amp; Cumulative Operating Cash Position</t>
        </is>
      </c>
    </row>
    <row r="37">
      <c r="A37" s="5" t="inlineStr">
        <is>
          <t>Month</t>
        </is>
      </c>
      <c r="B37" s="5" t="inlineStr">
        <is>
          <t>Net Operating Result (AUD)</t>
        </is>
      </c>
      <c r="C37" s="5" t="inlineStr">
        <is>
          <t>Cumulative Position (AUD)</t>
        </is>
      </c>
      <c r="D37" s="5" t="inlineStr">
        <is>
          <t>Status</t>
        </is>
      </c>
    </row>
    <row r="38">
      <c r="A38" s="9" t="inlineStr">
        <is>
          <t>M1</t>
        </is>
      </c>
      <c r="B38" s="10" t="n">
        <v>-43898.66</v>
      </c>
      <c r="C38" s="10" t="n">
        <v>-43898.66</v>
      </c>
      <c r="D38" s="11" t="inlineStr">
        <is>
          <t>CALCULATED</t>
        </is>
      </c>
    </row>
    <row r="39">
      <c r="A39" s="6" t="inlineStr">
        <is>
          <t>M2</t>
        </is>
      </c>
      <c r="B39" s="7" t="n">
        <v>-19797.29</v>
      </c>
      <c r="C39" s="7" t="n">
        <v>-63695.95</v>
      </c>
      <c r="D39" s="8" t="inlineStr">
        <is>
          <t>CALCULATED</t>
        </is>
      </c>
    </row>
    <row r="40">
      <c r="A40" s="9" t="inlineStr">
        <is>
          <t>M3</t>
        </is>
      </c>
      <c r="B40" s="10" t="n">
        <v>-2639.17</v>
      </c>
      <c r="C40" s="10" t="n">
        <v>-66335.12</v>
      </c>
      <c r="D40" s="11" t="inlineStr">
        <is>
          <t>CALCULATED</t>
        </is>
      </c>
    </row>
    <row r="41">
      <c r="A41" s="6" t="inlineStr">
        <is>
          <t>M4</t>
        </is>
      </c>
      <c r="B41" s="7" t="n">
        <v>13361.74</v>
      </c>
      <c r="C41" s="7" t="n">
        <v>-52973.38</v>
      </c>
      <c r="D41" s="8" t="inlineStr">
        <is>
          <t>CALCULATED</t>
        </is>
      </c>
    </row>
    <row r="42">
      <c r="A42" s="9" t="inlineStr">
        <is>
          <t>M5</t>
        </is>
      </c>
      <c r="B42" s="10" t="n">
        <v>21056.64</v>
      </c>
      <c r="C42" s="10" t="n">
        <v>-31916.74</v>
      </c>
      <c r="D42" s="11" t="inlineStr">
        <is>
          <t>CALCULATED</t>
        </is>
      </c>
    </row>
    <row r="43">
      <c r="A43" s="6" t="inlineStr">
        <is>
          <t>M6</t>
        </is>
      </c>
      <c r="B43" s="7" t="n">
        <v>21056.64</v>
      </c>
      <c r="C43" s="7" t="n">
        <v>-10860.1</v>
      </c>
      <c r="D43" s="8" t="inlineStr">
        <is>
          <t>CALCULATED</t>
        </is>
      </c>
    </row>
    <row r="44">
      <c r="A44" s="9" t="inlineStr">
        <is>
          <t>M7</t>
        </is>
      </c>
      <c r="B44" s="10" t="n">
        <v>21056.64</v>
      </c>
      <c r="C44" s="10" t="n">
        <v>10196.54</v>
      </c>
      <c r="D44" s="11" t="inlineStr">
        <is>
          <t>CALCULATED</t>
        </is>
      </c>
    </row>
    <row r="45">
      <c r="A45" s="6" t="inlineStr">
        <is>
          <t>M8</t>
        </is>
      </c>
      <c r="B45" s="7" t="n">
        <v>21056.64</v>
      </c>
      <c r="C45" s="7" t="n">
        <v>31253.18</v>
      </c>
      <c r="D45" s="8" t="inlineStr">
        <is>
          <t>CALCULATED</t>
        </is>
      </c>
    </row>
    <row r="46">
      <c r="A46" s="9" t="inlineStr">
        <is>
          <t>M9</t>
        </is>
      </c>
      <c r="B46" s="10" t="n">
        <v>21056.64</v>
      </c>
      <c r="C46" s="10" t="n">
        <v>52309.82</v>
      </c>
      <c r="D46" s="11" t="inlineStr">
        <is>
          <t>CALCULATED</t>
        </is>
      </c>
    </row>
    <row r="47">
      <c r="A47" s="6" t="inlineStr">
        <is>
          <t>M10</t>
        </is>
      </c>
      <c r="B47" s="7" t="n">
        <v>21056.64</v>
      </c>
      <c r="C47" s="7" t="n">
        <v>73366.46000000001</v>
      </c>
      <c r="D47" s="8" t="inlineStr">
        <is>
          <t>CALCULATED</t>
        </is>
      </c>
    </row>
    <row r="48">
      <c r="A48" s="9" t="inlineStr">
        <is>
          <t>M11</t>
        </is>
      </c>
      <c r="B48" s="10" t="n">
        <v>21056.64</v>
      </c>
      <c r="C48" s="10" t="n">
        <v>94423.10000000001</v>
      </c>
      <c r="D48" s="11" t="inlineStr">
        <is>
          <t>CALCULATED</t>
        </is>
      </c>
    </row>
    <row r="49">
      <c r="A49" s="6" t="inlineStr">
        <is>
          <t>M12</t>
        </is>
      </c>
      <c r="B49" s="7" t="n">
        <v>21056.64</v>
      </c>
      <c r="C49" s="7" t="n">
        <v>115479.74</v>
      </c>
      <c r="D49" s="8" t="inlineStr">
        <is>
          <t>CALCULATED</t>
        </is>
      </c>
    </row>
    <row r="50">
      <c r="A50" s="9" t="inlineStr">
        <is>
          <t>M13</t>
        </is>
      </c>
      <c r="B50" s="10" t="n">
        <v>21056.64</v>
      </c>
      <c r="C50" s="10" t="n">
        <v>136536.38</v>
      </c>
      <c r="D50" s="11" t="inlineStr">
        <is>
          <t>CALCULATED</t>
        </is>
      </c>
    </row>
    <row r="51">
      <c r="A51" s="6" t="inlineStr">
        <is>
          <t>M14</t>
        </is>
      </c>
      <c r="B51" s="7" t="n">
        <v>21056.64</v>
      </c>
      <c r="C51" s="7" t="n">
        <v>157593.02</v>
      </c>
      <c r="D51" s="8" t="inlineStr">
        <is>
          <t>CALCULATED</t>
        </is>
      </c>
    </row>
    <row r="52">
      <c r="A52" s="9" t="inlineStr">
        <is>
          <t>M15</t>
        </is>
      </c>
      <c r="B52" s="10" t="n">
        <v>21056.64</v>
      </c>
      <c r="C52" s="10" t="n">
        <v>178649.66</v>
      </c>
      <c r="D52" s="11" t="inlineStr">
        <is>
          <t>CALCULATED</t>
        </is>
      </c>
    </row>
    <row r="53">
      <c r="A53" s="6" t="inlineStr">
        <is>
          <t>M16</t>
        </is>
      </c>
      <c r="B53" s="7" t="n">
        <v>21056.64</v>
      </c>
      <c r="C53" s="7" t="n">
        <v>199706.3</v>
      </c>
      <c r="D53" s="8" t="inlineStr">
        <is>
          <t>CALCULATED</t>
        </is>
      </c>
    </row>
    <row r="54">
      <c r="A54" s="9" t="inlineStr">
        <is>
          <t>M17</t>
        </is>
      </c>
      <c r="B54" s="10" t="n">
        <v>21056.64</v>
      </c>
      <c r="C54" s="10" t="n">
        <v>220762.94</v>
      </c>
      <c r="D54" s="11" t="inlineStr">
        <is>
          <t>CALCULATED</t>
        </is>
      </c>
    </row>
    <row r="55">
      <c r="A55" s="6" t="inlineStr">
        <is>
          <t>M18</t>
        </is>
      </c>
      <c r="B55" s="7" t="n">
        <v>21056.64</v>
      </c>
      <c r="C55" s="7" t="n">
        <v>241819.58</v>
      </c>
      <c r="D55" s="8" t="inlineStr">
        <is>
          <t>CALCULATED</t>
        </is>
      </c>
    </row>
    <row r="56">
      <c r="A56" s="9" t="inlineStr">
        <is>
          <t>M19</t>
        </is>
      </c>
      <c r="B56" s="10" t="n">
        <v>21056.64</v>
      </c>
      <c r="C56" s="10" t="n">
        <v>262876.22</v>
      </c>
      <c r="D56" s="11" t="inlineStr">
        <is>
          <t>CALCULATED</t>
        </is>
      </c>
    </row>
    <row r="57">
      <c r="A57" s="6" t="inlineStr">
        <is>
          <t>M20</t>
        </is>
      </c>
      <c r="B57" s="7" t="n">
        <v>21056.64</v>
      </c>
      <c r="C57" s="7" t="n">
        <v>283932.86</v>
      </c>
      <c r="D57" s="8" t="inlineStr">
        <is>
          <t>CALCULATED</t>
        </is>
      </c>
    </row>
    <row r="58">
      <c r="A58" s="9" t="inlineStr">
        <is>
          <t>M21</t>
        </is>
      </c>
      <c r="B58" s="10" t="n">
        <v>21056.64</v>
      </c>
      <c r="C58" s="10" t="n">
        <v>304989.5</v>
      </c>
      <c r="D58" s="11" t="inlineStr">
        <is>
          <t>CALCULATED</t>
        </is>
      </c>
    </row>
    <row r="59">
      <c r="A59" s="6" t="inlineStr">
        <is>
          <t>M22</t>
        </is>
      </c>
      <c r="B59" s="7" t="n">
        <v>21056.64</v>
      </c>
      <c r="C59" s="7" t="n">
        <v>326046.14</v>
      </c>
      <c r="D59" s="8" t="inlineStr">
        <is>
          <t>CALCULATED</t>
        </is>
      </c>
    </row>
    <row r="60">
      <c r="A60" s="9" t="inlineStr">
        <is>
          <t>M23</t>
        </is>
      </c>
      <c r="B60" s="10" t="n">
        <v>21056.64</v>
      </c>
      <c r="C60" s="10" t="n">
        <v>347102.78</v>
      </c>
      <c r="D60" s="11" t="inlineStr">
        <is>
          <t>CALCULATED</t>
        </is>
      </c>
    </row>
    <row r="61">
      <c r="A61" s="6" t="inlineStr">
        <is>
          <t>M24</t>
        </is>
      </c>
      <c r="B61" s="7" t="n">
        <v>21056.64</v>
      </c>
      <c r="C61" s="7" t="n">
        <v>368159.42</v>
      </c>
      <c r="D61" s="8" t="inlineStr">
        <is>
          <t>CALCULATED</t>
        </is>
      </c>
    </row>
    <row r="62">
      <c r="A62" s="21" t="inlineStr">
        <is>
          <t>Operating cash trough: A$-66,335.12 at Month 3</t>
        </is>
      </c>
      <c r="B62" s="21" t="inlineStr"/>
      <c r="C62" s="21" t="inlineStr"/>
      <c r="D62" s="21" t="inlineStr">
        <is>
          <t>OPERATING-CASH-ONLY — NOT the total funding requirement (see Sheet 7)</t>
        </is>
      </c>
    </row>
  </sheetData>
  <mergeCells count="7">
    <mergeCell ref="A1:D1"/>
    <mergeCell ref="A5:D5"/>
    <mergeCell ref="A8:D8"/>
    <mergeCell ref="A6:D6"/>
    <mergeCell ref="A4:D4"/>
    <mergeCell ref="A3:D3"/>
    <mergeCell ref="A36:D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 ht="28" customHeight="1">
      <c r="A1" s="1" t="inlineStr">
        <is>
          <t>Break-Even Analysis</t>
        </is>
      </c>
    </row>
    <row r="3" ht="15" customHeight="1">
      <c r="A3" s="3" t="inlineStr">
        <is>
          <t>A traditional contribution-margin break-even (fixed costs / contribution margin %) is NOT computed.</t>
        </is>
      </c>
    </row>
    <row r="4" ht="15" customHeight="1">
      <c r="A4" s="3" t="inlineStr">
        <is>
          <t>Reason: nearly every cost in this model is classified FIXED (including AM/PM payroll under the current,</t>
        </is>
      </c>
    </row>
    <row r="5" ht="15" customHeight="1">
      <c r="A5" s="3" t="inlineStr">
        <is>
          <t>disclosed treatment), and the GTT-supplies/consumables/laundry classification remains unresolved — a</t>
        </is>
      </c>
    </row>
    <row r="6" ht="15" customHeight="1">
      <c r="A6" s="3" t="inlineStr">
        <is>
          <t>reliable fixed-vs-variable cost split does not exist in the canonical cost data.</t>
        </is>
      </c>
    </row>
    <row r="7" ht="15" customHeight="1">
      <c r="A7" s="3" t="inlineStr">
        <is>
          <t>What IS computed: an AM client-volume break-even, holding Month 5+ PM revenue/payroll/opex fixed and</t>
        </is>
      </c>
    </row>
    <row r="8" ht="15" customHeight="1">
      <c r="A8" s="3" t="inlineStr">
        <is>
          <t>treating AM revenue as the one genuinely linear-in-volume component (price x operating days).</t>
        </is>
      </c>
    </row>
    <row r="10">
      <c r="A10" s="5" t="inlineStr">
        <is>
          <t>Metric</t>
        </is>
      </c>
      <c r="B10" s="5" t="inlineStr">
        <is>
          <t>Table 1 (18/day)</t>
        </is>
      </c>
      <c r="C10" s="5" t="inlineStr">
        <is>
          <t>Table 2 (12/day)</t>
        </is>
      </c>
    </row>
    <row r="11">
      <c r="A11" s="6" t="inlineStr">
        <is>
          <t>Break-even AM client volume/day</t>
        </is>
      </c>
      <c r="B11" s="22" t="n">
        <v>9.404</v>
      </c>
      <c r="C11" s="22" t="n">
        <v>8.801</v>
      </c>
    </row>
    <row r="12">
      <c r="A12" s="9" t="inlineStr">
        <is>
          <t>Break-even monthly revenue (AUD)</t>
        </is>
      </c>
      <c r="B12" s="10" t="n">
        <v>98632.63</v>
      </c>
      <c r="C12" s="10" t="n">
        <v>94663.38</v>
      </c>
    </row>
    <row r="13">
      <c r="A13" s="6" t="inlineStr">
        <is>
          <t>Committed client volume/day</t>
        </is>
      </c>
      <c r="B13" s="22" t="n">
        <v>18</v>
      </c>
      <c r="C13" s="22" t="n">
        <v>12</v>
      </c>
    </row>
    <row r="14">
      <c r="A14" s="9" t="inlineStr">
        <is>
          <t>Margin of safety (clients/day)</t>
        </is>
      </c>
      <c r="B14" s="23" t="n">
        <v>8.596</v>
      </c>
      <c r="C14" s="23" t="n">
        <v>3.199</v>
      </c>
    </row>
    <row r="16" ht="15" customHeight="1">
      <c r="A16" s="12" t="inlineStr">
        <is>
          <t>Basis: Month 5+ (steady state) costs and PM/ancillary revenue held fixed; AM revenue treated as the only</t>
        </is>
      </c>
    </row>
    <row r="17" ht="15" customHeight="1">
      <c r="A17" s="12" t="inlineStr">
        <is>
          <t>volume-linear component. See data/models/master_financial_model.yml#compute_breakeven for full method.</t>
        </is>
      </c>
    </row>
  </sheetData>
  <mergeCells count="9">
    <mergeCell ref="A1:C1"/>
    <mergeCell ref="A5:C5"/>
    <mergeCell ref="A8:C8"/>
    <mergeCell ref="A6:C6"/>
    <mergeCell ref="A17:C17"/>
    <mergeCell ref="A3:C3"/>
    <mergeCell ref="A7:C7"/>
    <mergeCell ref="A4:C4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46" customWidth="1" min="4" max="4"/>
  </cols>
  <sheetData>
    <row r="1" ht="28" customHeight="1">
      <c r="A1" s="1" t="inlineStr">
        <is>
          <t>Funding Requirement — BOUNDED, NOT EXACT</t>
        </is>
      </c>
    </row>
    <row r="3" ht="15" customHeight="1">
      <c r="A3" s="3" t="inlineStr">
        <is>
          <t>docs/VERIFICATION-TRACKER.md item 47 — investigated and BOUNDED (OUTCOME 2), NOT resolved to an exact figure.</t>
        </is>
      </c>
    </row>
    <row r="4" ht="15" customHeight="1">
      <c r="A4" s="3" t="inlineStr">
        <is>
          <t>The underlying 6-9-range startup-cost reconciliation (docs/architecture/STARTUP-COST-RECONCILIATION.md) remains</t>
        </is>
      </c>
    </row>
    <row r="5" ht="15" customHeight="1">
      <c r="A5" s="3" t="inlineStr">
        <is>
          <t>genuinely unresolved. DO NOT quote a single number from this sheet — always quote the range.</t>
        </is>
      </c>
    </row>
    <row r="7" ht="20" customHeight="1">
      <c r="A7" s="4" t="inlineStr">
        <is>
          <t>(A) Pre-Opening Capital — universal, not scenario-specific</t>
        </is>
      </c>
    </row>
    <row r="8">
      <c r="A8" s="9" t="inlineStr">
        <is>
          <t>Pre-opening capital range (AUD)</t>
        </is>
      </c>
      <c r="B8" s="10" t="n">
        <v>272390</v>
      </c>
      <c r="C8" s="10" t="n">
        <v>467180</v>
      </c>
      <c r="D8" s="11" t="inlineStr">
        <is>
          <t>CALCULATED — construction, equipment/furniture/signage, legal/lease bond; excludes working capital</t>
        </is>
      </c>
    </row>
    <row r="9">
      <c r="A9" s="9" t="inlineStr">
        <is>
          <t>Timing</t>
        </is>
      </c>
      <c r="B9" s="11" t="inlineStr"/>
      <c r="C9" s="11" t="inlineStr"/>
      <c r="D9" s="11" t="inlineStr">
        <is>
          <t>TIMING PARTIALLY VERIFIED</t>
        </is>
      </c>
    </row>
    <row r="11" ht="20" customHeight="1">
      <c r="A11" s="4" t="inlineStr">
        <is>
          <t>(B) Opening Working Capital — two disclosed methods, neither chosen</t>
        </is>
      </c>
    </row>
    <row r="12">
      <c r="A12" s="9" t="inlineStr">
        <is>
          <t>Historical reserve method (AUD)</t>
        </is>
      </c>
      <c r="B12" s="10" t="n">
        <v>85000</v>
      </c>
      <c r="C12" s="10" t="n">
        <v>110000</v>
      </c>
      <c r="D12" s="11" t="inlineStr">
        <is>
          <t>MODELLED, stale basis (pre-rebase Month 1-3 loss estimate, item 30)</t>
        </is>
      </c>
    </row>
    <row r="13">
      <c r="A13" s="6" t="inlineStr">
        <is>
          <t>Operating-cash-trough cross-check — Table 1 (18 clients/day)</t>
        </is>
      </c>
      <c r="B13" s="7" t="n">
        <v>30885.75</v>
      </c>
      <c r="C13" s="8" t="inlineStr"/>
      <c r="D13" s="8" t="inlineStr">
        <is>
          <t>Alternative cross-check only, trough Month 1 — NOT chosen over the historical reserve</t>
        </is>
      </c>
    </row>
    <row r="14">
      <c r="A14" s="6" t="inlineStr">
        <is>
          <t>Operating-cash-trough cross-check — Table 2 (12 clients/day)</t>
        </is>
      </c>
      <c r="B14" s="7" t="n">
        <v>66335.12</v>
      </c>
      <c r="C14" s="8" t="inlineStr"/>
      <c r="D14" s="8" t="inlineStr">
        <is>
          <t>Alternative cross-check only, trough Month 3 — NOT chosen over the historical reserve</t>
        </is>
      </c>
    </row>
    <row r="16" ht="20" customHeight="1">
      <c r="A16" s="4" t="inlineStr">
        <is>
          <t>(C) Combined Bounded Funding Requirement</t>
        </is>
      </c>
    </row>
    <row r="17">
      <c r="A17" s="24" t="inlineStr">
        <is>
          <t>PRIMARY METHOD: (A) + historical Working Capital Reserve</t>
        </is>
      </c>
      <c r="B17" s="25" t="n">
        <v>357390</v>
      </c>
      <c r="C17" s="25" t="n">
        <v>577180</v>
      </c>
      <c r="D17" s="24" t="inlineStr">
        <is>
          <t>Exact match to startup_costs.yml#total_current_state_component_sum — no new figure invented</t>
        </is>
      </c>
    </row>
    <row r="18">
      <c r="A18" s="6" t="inlineStr">
        <is>
          <t>Alternative: (A) + operating cash trough — Table 1 (18 clients/day)</t>
        </is>
      </c>
      <c r="B18" s="7" t="n">
        <v>303275.75</v>
      </c>
      <c r="C18" s="7" t="n">
        <v>498065.75</v>
      </c>
      <c r="D18" s="8" t="inlineStr">
        <is>
          <t>Illustrative alternative only, not chosen as more correct</t>
        </is>
      </c>
    </row>
    <row r="19">
      <c r="A19" s="6" t="inlineStr">
        <is>
          <t>Alternative: (A) + operating cash trough — Table 2 (12 clients/day)</t>
        </is>
      </c>
      <c r="B19" s="7" t="n">
        <v>338725.12</v>
      </c>
      <c r="C19" s="7" t="n">
        <v>533515.12</v>
      </c>
      <c r="D19" s="8" t="inlineStr">
        <is>
          <t>Illustrative alternative only, not chosen as more correct</t>
        </is>
      </c>
    </row>
    <row r="21" ht="15" customHeight="1">
      <c r="A21" s="12" t="inlineStr">
        <is>
          <t>Anthony's own adopted, reconciled total (docs/CURRENT-STATE.md §7.4): A$292,335 - A$594,900 — close to but</t>
        </is>
      </c>
    </row>
    <row r="22" ht="15" customHeight="1">
      <c r="A22" s="12" t="inlineStr">
        <is>
          <t>NOT identical to the primary method range above (CURRENT-STATE.md itself discloses this gap). Both figures</t>
        </is>
      </c>
    </row>
    <row r="23" ht="15" customHeight="1">
      <c r="A23" s="12" t="inlineStr">
        <is>
          <t>remain valid, disclosed, side by side — neither superseded by this workbook.</t>
        </is>
      </c>
    </row>
    <row r="24" ht="15" customHeight="1">
      <c r="A24" s="12" t="inlineStr"/>
    </row>
    <row r="25" ht="15" customHeight="1">
      <c r="A25" s="12" t="inlineStr">
        <is>
          <t>NOT INCLUDED anywhere in this sheet: an opening cash balance (none exists in this repo), a financing/debt/</t>
        </is>
      </c>
    </row>
    <row r="26" ht="15" customHeight="1">
      <c r="A26" s="12" t="inlineStr">
        <is>
          <t>equity structure (none assumed), or the operating cash trough summed ON TOP of the working capital reserve</t>
        </is>
      </c>
    </row>
    <row r="27" ht="15" customHeight="1">
      <c r="A27" s="12" t="inlineStr">
        <is>
          <t>(would double-count the same 'survive the ramp' concept — see deliberate_non_assumptions in the model YAML).</t>
        </is>
      </c>
    </row>
  </sheetData>
  <mergeCells count="14">
    <mergeCell ref="A1:D1"/>
    <mergeCell ref="A5:D5"/>
    <mergeCell ref="A23:D23"/>
    <mergeCell ref="A27:D27"/>
    <mergeCell ref="A22:D22"/>
    <mergeCell ref="A4:D4"/>
    <mergeCell ref="A3:D3"/>
    <mergeCell ref="A21:D21"/>
    <mergeCell ref="A26:D26"/>
    <mergeCell ref="A7:D7"/>
    <mergeCell ref="A25:D25"/>
    <mergeCell ref="A24:D24"/>
    <mergeCell ref="A16:D16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 ht="28" customHeight="1">
      <c r="A1" s="1" t="inlineStr">
        <is>
          <t>Sensitivity Analysis</t>
        </is>
      </c>
    </row>
    <row r="3" ht="15" customHeight="1">
      <c r="A3" s="12" t="inlineStr">
        <is>
          <t>Only the two sensitivities already computed by tools/master_financial_model.py are shown here — no new</t>
        </is>
      </c>
    </row>
    <row r="4" ht="15" customHeight="1">
      <c r="A4" s="12" t="inlineStr">
        <is>
          <t>sensitivity is invented for this workbook.</t>
        </is>
      </c>
    </row>
    <row r="6" ht="20" customHeight="1">
      <c r="A6" s="4" t="inlineStr">
        <is>
          <t>Table 1 (18 clients/day) — Client Volume Sensitivity (50/75/100/125% of committed)</t>
        </is>
      </c>
    </row>
    <row r="7">
      <c r="A7" s="5" t="inlineStr">
        <is>
          <t>% of Committed Volume</t>
        </is>
      </c>
      <c r="B7" s="5" t="inlineStr">
        <is>
          <t>Client Volume/Day</t>
        </is>
      </c>
      <c r="C7" s="5" t="inlineStr">
        <is>
          <t>AM Revenue</t>
        </is>
      </c>
      <c r="D7" s="5" t="inlineStr">
        <is>
          <t>Total Revenue</t>
        </is>
      </c>
      <c r="E7" s="5" t="inlineStr">
        <is>
          <t>Net Operating Result</t>
        </is>
      </c>
      <c r="F7" s="5" t="inlineStr">
        <is>
          <t>Note</t>
        </is>
      </c>
    </row>
    <row r="8">
      <c r="A8" s="6" t="inlineStr">
        <is>
          <t>50%</t>
        </is>
      </c>
      <c r="B8" s="22" t="n">
        <v>9</v>
      </c>
      <c r="C8" s="7" t="n">
        <v>59242.5</v>
      </c>
      <c r="D8" s="7" t="n">
        <v>95973.3</v>
      </c>
      <c r="E8" s="7" t="n">
        <v>-2660.8</v>
      </c>
      <c r="F8" s="8" t="inlineStr">
        <is>
          <t>payroll and opex held at Month 5+ steady-state levels -- NOT flexed with client volume, per conflict_am_labor_ramp_unmodelled</t>
        </is>
      </c>
    </row>
    <row r="9">
      <c r="A9" s="9" t="inlineStr">
        <is>
          <t>75%</t>
        </is>
      </c>
      <c r="B9" s="23" t="n">
        <v>13.5</v>
      </c>
      <c r="C9" s="10" t="n">
        <v>88863.75</v>
      </c>
      <c r="D9" s="10" t="n">
        <v>125594.55</v>
      </c>
      <c r="E9" s="10" t="n">
        <v>26960.45</v>
      </c>
      <c r="F9" s="11" t="inlineStr">
        <is>
          <t>payroll and opex held at Month 5+ steady-state levels -- NOT flexed with client volume, per conflict_am_labor_ramp_unmodelled</t>
        </is>
      </c>
    </row>
    <row r="10">
      <c r="A10" s="6" t="inlineStr">
        <is>
          <t>100%</t>
        </is>
      </c>
      <c r="B10" s="22" t="n">
        <v>18</v>
      </c>
      <c r="C10" s="7" t="n">
        <v>118485</v>
      </c>
      <c r="D10" s="7" t="n">
        <v>155215.8</v>
      </c>
      <c r="E10" s="7" t="n">
        <v>56581.7</v>
      </c>
      <c r="F10" s="8" t="inlineStr">
        <is>
          <t>payroll and opex held at Month 5+ steady-state levels -- NOT flexed with client volume, per conflict_am_labor_ramp_unmodelled</t>
        </is>
      </c>
    </row>
    <row r="11">
      <c r="A11" s="9" t="inlineStr">
        <is>
          <t>125%</t>
        </is>
      </c>
      <c r="B11" s="23" t="n">
        <v>22.5</v>
      </c>
      <c r="C11" s="10" t="n">
        <v>148106.25</v>
      </c>
      <c r="D11" s="10" t="n">
        <v>184837.05</v>
      </c>
      <c r="E11" s="10" t="n">
        <v>86202.95</v>
      </c>
      <c r="F11" s="11" t="inlineStr">
        <is>
          <t>payroll and opex held at Month 5+ steady-state levels -- NOT flexed with client volume, per conflict_am_labor_ramp_unmodelled</t>
        </is>
      </c>
    </row>
    <row r="13" ht="20" customHeight="1">
      <c r="A13" s="4" t="inlineStr">
        <is>
          <t>Table 2 (12 clients/day) — Client Volume Sensitivity (50/75/100/125% of committed)</t>
        </is>
      </c>
    </row>
    <row r="14">
      <c r="A14" s="5" t="inlineStr">
        <is>
          <t>% of Committed Volume</t>
        </is>
      </c>
      <c r="B14" s="5" t="inlineStr">
        <is>
          <t>Client Volume/Day</t>
        </is>
      </c>
      <c r="C14" s="5" t="inlineStr">
        <is>
          <t>AM Revenue</t>
        </is>
      </c>
      <c r="D14" s="5" t="inlineStr">
        <is>
          <t>Total Revenue</t>
        </is>
      </c>
      <c r="E14" s="5" t="inlineStr">
        <is>
          <t>Net Operating Result</t>
        </is>
      </c>
      <c r="F14" s="5" t="inlineStr">
        <is>
          <t>Note</t>
        </is>
      </c>
    </row>
    <row r="15">
      <c r="A15" s="6" t="inlineStr">
        <is>
          <t>50%</t>
        </is>
      </c>
      <c r="B15" s="22" t="n">
        <v>6</v>
      </c>
      <c r="C15" s="7" t="n">
        <v>39495</v>
      </c>
      <c r="D15" s="7" t="n">
        <v>76225.8</v>
      </c>
      <c r="E15" s="7" t="n">
        <v>-18438.36</v>
      </c>
      <c r="F15" s="8" t="inlineStr">
        <is>
          <t>payroll and opex held at Month 5+ steady-state levels -- NOT flexed with client volume, per conflict_am_labor_ramp_unmodelled</t>
        </is>
      </c>
    </row>
    <row r="16">
      <c r="A16" s="9" t="inlineStr">
        <is>
          <t>75%</t>
        </is>
      </c>
      <c r="B16" s="23" t="n">
        <v>9</v>
      </c>
      <c r="C16" s="10" t="n">
        <v>59242.5</v>
      </c>
      <c r="D16" s="10" t="n">
        <v>95973.3</v>
      </c>
      <c r="E16" s="10" t="n">
        <v>1309.14</v>
      </c>
      <c r="F16" s="11" t="inlineStr">
        <is>
          <t>payroll and opex held at Month 5+ steady-state levels -- NOT flexed with client volume, per conflict_am_labor_ramp_unmodelled</t>
        </is>
      </c>
    </row>
    <row r="17">
      <c r="A17" s="6" t="inlineStr">
        <is>
          <t>100%</t>
        </is>
      </c>
      <c r="B17" s="22" t="n">
        <v>12</v>
      </c>
      <c r="C17" s="7" t="n">
        <v>78990</v>
      </c>
      <c r="D17" s="7" t="n">
        <v>115720.8</v>
      </c>
      <c r="E17" s="7" t="n">
        <v>21056.64</v>
      </c>
      <c r="F17" s="8" t="inlineStr">
        <is>
          <t>payroll and opex held at Month 5+ steady-state levels -- NOT flexed with client volume, per conflict_am_labor_ramp_unmodelled</t>
        </is>
      </c>
    </row>
    <row r="18">
      <c r="A18" s="9" t="inlineStr">
        <is>
          <t>125%</t>
        </is>
      </c>
      <c r="B18" s="23" t="n">
        <v>15</v>
      </c>
      <c r="C18" s="10" t="n">
        <v>98737.5</v>
      </c>
      <c r="D18" s="10" t="n">
        <v>135468.3</v>
      </c>
      <c r="E18" s="10" t="n">
        <v>40804.14</v>
      </c>
      <c r="F18" s="11" t="inlineStr">
        <is>
          <t>payroll and opex held at Month 5+ steady-state levels -- NOT flexed with client volume, per conflict_am_labor_ramp_unmodelled</t>
        </is>
      </c>
    </row>
    <row r="20" ht="20" customHeight="1">
      <c r="A20" s="4" t="inlineStr">
        <is>
          <t>Table 1 (18 clients/day) — Insurance Sensitivity (modelled vs. itemised, conflict_insurance_estimate)</t>
        </is>
      </c>
    </row>
    <row r="21">
      <c r="A21" s="5" t="inlineStr">
        <is>
          <t>Insurance Scenario</t>
        </is>
      </c>
      <c r="B21" s="5" t="inlineStr">
        <is>
          <t>Monthly Insurance</t>
        </is>
      </c>
      <c r="C21" s="5" t="inlineStr">
        <is>
          <t>Delta vs. Modelled</t>
        </is>
      </c>
      <c r="D21" s="5" t="inlineStr">
        <is>
          <t>Adjusted Total Op. Costs</t>
        </is>
      </c>
      <c r="E21" s="5" t="inlineStr">
        <is>
          <t>Adjusted Net Op. Result</t>
        </is>
      </c>
      <c r="F21" s="5" t="inlineStr"/>
    </row>
    <row r="22">
      <c r="A22" s="6" t="inlineStr">
        <is>
          <t>modelled (current)</t>
        </is>
      </c>
      <c r="B22" s="7" t="n">
        <v>400</v>
      </c>
      <c r="C22" s="7" t="n">
        <v>0</v>
      </c>
      <c r="D22" s="7" t="n">
        <v>98634.10000000001</v>
      </c>
      <c r="E22" s="7" t="n">
        <v>56581.7</v>
      </c>
      <c r="F22" s="8" t="inlineStr"/>
    </row>
    <row r="23">
      <c r="A23" s="9" t="inlineStr">
        <is>
          <t>itemised low (mandatory policies only)</t>
        </is>
      </c>
      <c r="B23" s="10" t="n">
        <v>500</v>
      </c>
      <c r="C23" s="10" t="n">
        <v>100</v>
      </c>
      <c r="D23" s="10" t="n">
        <v>98734.10000000001</v>
      </c>
      <c r="E23" s="10" t="n">
        <v>56481.7</v>
      </c>
      <c r="F23" s="11" t="inlineStr"/>
    </row>
    <row r="24">
      <c r="A24" s="6" t="inlineStr">
        <is>
          <t>itemised high (mandatory policies only)</t>
        </is>
      </c>
      <c r="B24" s="7" t="n">
        <v>916.66</v>
      </c>
      <c r="C24" s="7" t="n">
        <v>516.66</v>
      </c>
      <c r="D24" s="7" t="n">
        <v>99150.75999999999</v>
      </c>
      <c r="E24" s="7" t="n">
        <v>56065.04</v>
      </c>
      <c r="F24" s="8" t="inlineStr"/>
    </row>
    <row r="26" ht="20" customHeight="1">
      <c r="A26" s="4" t="inlineStr">
        <is>
          <t>Table 2 (12 clients/day) — Insurance Sensitivity (modelled vs. itemised, conflict_insurance_estimate)</t>
        </is>
      </c>
    </row>
    <row r="27">
      <c r="A27" s="5" t="inlineStr">
        <is>
          <t>Insurance Scenario</t>
        </is>
      </c>
      <c r="B27" s="5" t="inlineStr">
        <is>
          <t>Monthly Insurance</t>
        </is>
      </c>
      <c r="C27" s="5" t="inlineStr">
        <is>
          <t>Delta vs. Modelled</t>
        </is>
      </c>
      <c r="D27" s="5" t="inlineStr">
        <is>
          <t>Adjusted Total Op. Costs</t>
        </is>
      </c>
      <c r="E27" s="5" t="inlineStr">
        <is>
          <t>Adjusted Net Op. Result</t>
        </is>
      </c>
      <c r="F27" s="5" t="inlineStr"/>
    </row>
    <row r="28">
      <c r="A28" s="6" t="inlineStr">
        <is>
          <t>modelled (current)</t>
        </is>
      </c>
      <c r="B28" s="7" t="n">
        <v>400</v>
      </c>
      <c r="C28" s="7" t="n">
        <v>0</v>
      </c>
      <c r="D28" s="7" t="n">
        <v>94664.16</v>
      </c>
      <c r="E28" s="7" t="n">
        <v>21056.64</v>
      </c>
      <c r="F28" s="8" t="inlineStr"/>
    </row>
    <row r="29">
      <c r="A29" s="9" t="inlineStr">
        <is>
          <t>itemised low (mandatory policies only)</t>
        </is>
      </c>
      <c r="B29" s="10" t="n">
        <v>500</v>
      </c>
      <c r="C29" s="10" t="n">
        <v>100</v>
      </c>
      <c r="D29" s="10" t="n">
        <v>94764.16</v>
      </c>
      <c r="E29" s="10" t="n">
        <v>20956.64</v>
      </c>
      <c r="F29" s="11" t="inlineStr"/>
    </row>
    <row r="30">
      <c r="A30" s="6" t="inlineStr">
        <is>
          <t>itemised high (mandatory policies only)</t>
        </is>
      </c>
      <c r="B30" s="7" t="n">
        <v>916.66</v>
      </c>
      <c r="C30" s="7" t="n">
        <v>516.66</v>
      </c>
      <c r="D30" s="7" t="n">
        <v>95180.82000000001</v>
      </c>
      <c r="E30" s="7" t="n">
        <v>20539.98</v>
      </c>
      <c r="F30" s="8" t="inlineStr"/>
    </row>
  </sheetData>
  <mergeCells count="15">
    <mergeCell ref="F8"/>
    <mergeCell ref="A13:F13"/>
    <mergeCell ref="F17"/>
    <mergeCell ref="F9"/>
    <mergeCell ref="A1:F1"/>
    <mergeCell ref="F16"/>
    <mergeCell ref="F15"/>
    <mergeCell ref="F11"/>
    <mergeCell ref="A6:F6"/>
    <mergeCell ref="A26:F26"/>
    <mergeCell ref="A4:F4"/>
    <mergeCell ref="F10"/>
    <mergeCell ref="A3:F3"/>
    <mergeCell ref="A20:F20"/>
    <mergeCell ref="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55" customWidth="1" min="4" max="4"/>
  </cols>
  <sheetData>
    <row r="1" ht="28" customHeight="1">
      <c r="A1" s="1" t="inlineStr">
        <is>
          <t>Assumptions &amp; Open Issues</t>
        </is>
      </c>
    </row>
    <row r="3" ht="15" customHeight="1">
      <c r="A3" s="12" t="inlineStr">
        <is>
          <t>This sheet reproduces the currently-unresolved items from docs/VERIFICATION-TRACKER.md most relevant to the</t>
        </is>
      </c>
    </row>
    <row r="4" ht="15" customHeight="1">
      <c r="A4" s="12" t="inlineStr">
        <is>
          <t>figures presented in this workbook. It does not resolve any of them — presentation only, per this phase's scope.</t>
        </is>
      </c>
    </row>
    <row r="6">
      <c r="A6" s="5" t="inlineStr">
        <is>
          <t>Tracker Item</t>
        </is>
      </c>
      <c r="B6" s="5" t="inlineStr">
        <is>
          <t>Description</t>
        </is>
      </c>
      <c r="C6" s="5" t="inlineStr">
        <is>
          <t>Status</t>
        </is>
      </c>
      <c r="D6" s="5" t="inlineStr">
        <is>
          <t>Notes</t>
        </is>
      </c>
    </row>
    <row r="7" ht="30" customHeight="1">
      <c r="A7" s="26" t="inlineStr">
        <is>
          <t>30</t>
        </is>
      </c>
      <c r="B7" s="27" t="inlineStr">
        <is>
          <t>Working capital reserve (A$85,000-110,000) basis is a pre-2026-08-05-rebase Month 1-3 loss estimate</t>
        </is>
      </c>
      <c r="C7" s="27" t="inlineStr">
        <is>
          <t>UNRESOLVED (stale basis)</t>
        </is>
      </c>
      <c r="D7" s="27" t="inlineStr">
        <is>
          <t>See Sheet 7 (B) Historical reserve method</t>
        </is>
      </c>
    </row>
    <row r="8" ht="30" customHeight="1">
      <c r="A8" s="28" t="inlineStr">
        <is>
          <t>36</t>
        </is>
      </c>
      <c r="B8" s="29" t="inlineStr">
        <is>
          <t>Historical Table 1/2 monthly revenue (A$157,792.16 / A$118,297.16) vs. canonical (A$155,215.80 / A$115,720.80) — A$2,576.36 gap</t>
        </is>
      </c>
      <c r="C8" s="29" t="inlineStr">
        <is>
          <t>RESOLVED (nuanced) — historical origin unresolved, future methodology resolved</t>
        </is>
      </c>
      <c r="D8" s="29" t="inlineStr">
        <is>
          <t>See Sheet 10 and docs/architecture/MASTER-FINANCIAL-MODEL-METHODOLOGY.md</t>
        </is>
      </c>
    </row>
    <row r="9" ht="30" customHeight="1">
      <c r="A9" s="26" t="inlineStr">
        <is>
          <t>39</t>
        </is>
      </c>
      <c r="B9" s="27" t="inlineStr">
        <is>
          <t>PM discount / pricing basis for the a-la-carte average used in PM revenue</t>
        </is>
      </c>
      <c r="C9" s="27" t="inlineStr">
        <is>
          <t>UNRESOLVED</t>
        </is>
      </c>
      <c r="D9" s="27" t="inlineStr">
        <is>
          <t>See data/canonical/pricing.yml#conflicts</t>
        </is>
      </c>
    </row>
    <row r="10" ht="30" customHeight="1">
      <c r="A10" s="28" t="inlineStr">
        <is>
          <t>41-42</t>
        </is>
      </c>
      <c r="B10" s="29" t="inlineStr">
        <is>
          <t>Revenue-ramp origin — Month 1-4 ramp percentages' original derivation</t>
        </is>
      </c>
      <c r="C10" s="29" t="inlineStr">
        <is>
          <t>UNRESOLVED origin, canonical going forward</t>
        </is>
      </c>
      <c r="D10" s="29" t="inlineStr">
        <is>
          <t>See data/canonical/revenue_ramp.yml#conflicts</t>
        </is>
      </c>
    </row>
    <row r="11" ht="30" customHeight="1">
      <c r="A11" s="26" t="inlineStr">
        <is>
          <t>43</t>
        </is>
      </c>
      <c r="B11" s="27" t="inlineStr">
        <is>
          <t>AM labour ramp not modelled — payroll held FIXED from Month 1 rather than flexed with the ramp</t>
        </is>
      </c>
      <c r="C11" s="27" t="inlineStr">
        <is>
          <t>UNRESOLVED, disclosed conservative simplification</t>
        </is>
      </c>
      <c r="D11" s="27" t="inlineStr">
        <is>
          <t>conflict_am_labor_ramp_unmodelled, see Sheet 3 and Sheet 8</t>
        </is>
      </c>
    </row>
    <row r="12" ht="30" customHeight="1">
      <c r="A12" s="28" t="inlineStr">
        <is>
          <t>45</t>
        </is>
      </c>
      <c r="B12" s="29" t="inlineStr">
        <is>
          <t>GTT supplies / consumables / laundry — FIXED vs. VARIABLE classification conflict</t>
        </is>
      </c>
      <c r="C12" s="29" t="inlineStr">
        <is>
          <t>UNRESOLVED</t>
        </is>
      </c>
      <c r="D12" s="29" t="inlineStr">
        <is>
          <t>conflict_variable_vs_fixed_classification_carried_forward, see Sheet 3</t>
        </is>
      </c>
    </row>
    <row r="13" ht="30" customHeight="1">
      <c r="A13" s="26" t="inlineStr">
        <is>
          <t>46</t>
        </is>
      </c>
      <c r="B13" s="27" t="inlineStr">
        <is>
          <t>Superannuation — RESOLVED for 6 of 8 payroll components; Opening-Time-Increment and Receptionist/Relief Pool remain super-uncertain</t>
        </is>
      </c>
      <c r="C13" s="27" t="inlineStr">
        <is>
          <t>PARTIALLY RESOLVED</t>
        </is>
      </c>
      <c r="D13" s="27" t="inlineStr">
        <is>
          <t>conflict_superannuation_partial_coverage, see Sheet 3</t>
        </is>
      </c>
    </row>
    <row r="14" ht="30" customHeight="1">
      <c r="A14" s="28" t="inlineStr">
        <is>
          <t>47</t>
        </is>
      </c>
      <c r="B14" s="29" t="inlineStr">
        <is>
          <t>Funding requirement — bounded range only (A$357,390-577,180), not an exact figure; underlying 6-9-range startup-cost reconciliation unresolved</t>
        </is>
      </c>
      <c r="C14" s="29" t="inlineStr">
        <is>
          <t>PARTIALLY RESOLVED (bounded)</t>
        </is>
      </c>
      <c r="D14" s="29" t="inlineStr">
        <is>
          <t>See Sheet 7 and docs/architecture/FUNDING-REQUIREMENT-INVESTIGATION.md</t>
        </is>
      </c>
    </row>
    <row r="15" ht="30" customHeight="1">
      <c r="A15" s="26" t="inlineStr">
        <is>
          <t>n/a</t>
        </is>
      </c>
      <c r="B15" s="27" t="inlineStr">
        <is>
          <t>Insurance — modelled A$400/month vs. itemised A$975-1,583/month (mandatory policies only)</t>
        </is>
      </c>
      <c r="C15" s="27" t="inlineStr">
        <is>
          <t>UNRESOLVED</t>
        </is>
      </c>
      <c r="D15" s="27" t="inlineStr">
        <is>
          <t>conflict_insurance_estimate, see Sheet 8 Sensitivity</t>
        </is>
      </c>
    </row>
  </sheetData>
  <mergeCells count="3">
    <mergeCell ref="A1:D1"/>
    <mergeCell ref="A4:D4"/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70" customWidth="1" min="3" max="3"/>
  </cols>
  <sheetData>
    <row r="1" ht="28" customHeight="1">
      <c r="A1" s="1" t="inlineStr">
        <is>
          <t>Source &amp; Methodology Register</t>
        </is>
      </c>
    </row>
    <row r="3" ht="15" customHeight="1">
      <c r="A3" s="12" t="inlineStr">
        <is>
          <t>Every major output in this workbook traces to a canonical source or model record. Status key: CANONICAL =</t>
        </is>
      </c>
    </row>
    <row r="4" ht="15" customHeight="1">
      <c r="A4" s="12" t="inlineStr">
        <is>
          <t>directly from data/canonical/*.yml. MODELLED = computed by tools/master_financial_model.py from canonical</t>
        </is>
      </c>
    </row>
    <row r="5" ht="15" customHeight="1">
      <c r="A5" s="12" t="inlineStr">
        <is>
          <t>inputs. HISTORICAL-SUPERSEDED = retained for traceability only, no longer the basis for any live figure.</t>
        </is>
      </c>
    </row>
    <row r="6" ht="15" customHeight="1">
      <c r="A6" s="12" t="inlineStr">
        <is>
          <t>BOUNDED = a range, not a point estimate. UNRESOLVED = no defensible figure exists yet.</t>
        </is>
      </c>
    </row>
    <row r="8">
      <c r="A8" s="5" t="inlineStr">
        <is>
          <t>Output</t>
        </is>
      </c>
      <c r="B8" s="5" t="inlineStr">
        <is>
          <t>Status</t>
        </is>
      </c>
      <c r="C8" s="5" t="inlineStr">
        <is>
          <t>Source Chain</t>
        </is>
      </c>
    </row>
    <row r="9" ht="45" customHeight="1">
      <c r="A9" s="6" t="inlineStr">
        <is>
          <t>Table 1 Month 12 Revenue</t>
        </is>
      </c>
      <c r="B9" s="8" t="inlineStr">
        <is>
          <t>MODELLED</t>
        </is>
      </c>
      <c r="C9" s="27" t="inlineStr">
        <is>
          <t>outputs.steady_state_summary (this file) -&gt; data/canonical/revenue_ramp.yml#ramp_table1_m5plus (Month 12 = M5plus, per assumption_24month_extension_flat) -&gt; docs/architecture/CANONICAL-REVENUE-METHODOLOGY.md (the formula ramp_table1_m5plus itself implements) -&gt; data/canonical/scenarios.yml#scenario_table_1.client_volume -&gt; data/canonical/pricing.yml#am_price_used_for_revenue, #pm_alacarte_average</t>
        </is>
      </c>
    </row>
    <row r="10" ht="45" customHeight="1">
      <c r="A10" s="9" t="inlineStr">
        <is>
          <t>Table 1 Month 12 Payroll</t>
        </is>
      </c>
      <c r="B10" s="11" t="inlineStr">
        <is>
          <t>MODELLED</t>
        </is>
      </c>
      <c r="C10" s="29" t="inlineStr">
        <is>
          <t>outputs.steady_state_summary (this file) -&gt; data/canonical/cost_ramp.yml#cost_table1_m5plus.payroll_breakdown -&gt; data/canonical/staffing.yml (headcount) + data/canonical/wages.yml (rates) -&gt; data/canonical/wages.yml#wage_casual_minimum_engagement (the 3-hour floor governing PM labor) -&gt; data/canonical/wages.yml#wage_superannuation_rate (12% OTE, added 2026-08-09, item 46 resolved) -&gt; docs/financial-break-even-staff.md Award Wage Summary lines 29-37 (inclusive/exclusive super treatment per role)</t>
        </is>
      </c>
    </row>
    <row r="11" ht="45" customHeight="1">
      <c r="A11" s="6" t="inlineStr">
        <is>
          <t>Table 1 Month 12 Insurance</t>
        </is>
      </c>
      <c r="B11" s="8" t="inlineStr">
        <is>
          <t>MODELLED</t>
        </is>
      </c>
      <c r="C11" s="27" t="inlineStr">
        <is>
          <t>outputs.sensitivity_insurance (this file) -&gt; data/canonical/cost_ramp.yml#cost_table1_m5plus.fixed_costs (includes the A$400.00/month modelled figure) -&gt; data/canonical/opex.yml#opex_insurance_modelled -&gt; docs/profit-loss-tables.md §4 Monthly, Non-Wage Overhead Component breakdown (original source) -&gt; data/canonical/opex.yml#conflict_insurance_estimate (verification status: UNRESOLVED)</t>
        </is>
      </c>
    </row>
    <row r="12" ht="45" customHeight="1">
      <c r="A12" s="9" t="inlineStr">
        <is>
          <t>Table 1 24-Month Total Net Operating Result</t>
        </is>
      </c>
      <c r="B12" s="11" t="inlineStr">
        <is>
          <t>MODELLED</t>
        </is>
      </c>
      <c r="C12" s="29" t="inlineStr">
        <is>
          <t>outputs.totals_24mo (this file) -&gt; tools/master_financial_model.py#compute_24_month_totals -&gt; outputs.steady_state_summary + Months 1-4 (data/canonical/revenue_ramp.yml + cost_ramp.yml) -&gt; assumption_24month_extension_flat (Months 5-24 held flat)</t>
        </is>
      </c>
    </row>
    <row r="13" ht="45" customHeight="1">
      <c r="A13" s="6" t="inlineStr">
        <is>
          <t>Table 1 Break-Even AM Client Volume</t>
        </is>
      </c>
      <c r="B13" s="8" t="inlineStr">
        <is>
          <t>MODELLED</t>
        </is>
      </c>
      <c r="C13" s="27" t="inlineStr">
        <is>
          <t>outputs.breakeven (this file) -&gt; tools/master_financial_model.py#compute_breakeven -&gt; outputs.steady_state_summary.total_operating_costs, .pm_revenue -&gt; data/canonical/pricing.yml#am_price_used_for_revenue -&gt; data/canonical/client_assumptions.yml#operating_days_per_month_weekday, #operating_saturdays_per_month -&gt; assumption_breakeven_am_volume_only (methodology scope)</t>
        </is>
      </c>
    </row>
    <row r="15" ht="20" customHeight="1">
      <c r="A15" s="4" t="inlineStr">
        <is>
          <t>Additional Key Outputs — Manually Mapped</t>
        </is>
      </c>
    </row>
    <row r="16">
      <c r="A16" s="5" t="inlineStr">
        <is>
          <t>Output</t>
        </is>
      </c>
      <c r="B16" s="5" t="inlineStr">
        <is>
          <t>Status</t>
        </is>
      </c>
      <c r="C16" s="5" t="inlineStr">
        <is>
          <t>Source Chain</t>
        </is>
      </c>
    </row>
    <row r="17" ht="30" customHeight="1">
      <c r="A17" s="6" t="inlineStr">
        <is>
          <t>Table 1/2 Steady-State Revenue</t>
        </is>
      </c>
      <c r="B17" s="8" t="inlineStr">
        <is>
          <t>CANONICAL</t>
        </is>
      </c>
      <c r="C17" s="27" t="inlineStr">
        <is>
          <t>data/canonical/revenue_ramp.yml#ramp_table1_m5plus / #ramp_table2_m5plus</t>
        </is>
      </c>
    </row>
    <row r="18" ht="30" customHeight="1">
      <c r="A18" s="9" t="inlineStr">
        <is>
          <t>Table 1/2 Steady-State Net Operating Result (post-super)</t>
        </is>
      </c>
      <c r="B18" s="11" t="inlineStr">
        <is>
          <t>MODELLED</t>
        </is>
      </c>
      <c r="C18" s="29" t="inlineStr">
        <is>
          <t>tools/master_financial_model.py#compute_month_pnl -&gt; data/canonical/cost_ramp.yml (incl. 2026-08-09 superannuation fix, item 46)</t>
        </is>
      </c>
    </row>
    <row r="19" ht="30" customHeight="1">
      <c r="A19" s="6" t="inlineStr">
        <is>
          <t>Historical A$157,792.16 / A$118,297.16 revenue</t>
        </is>
      </c>
      <c r="B19" s="8" t="inlineStr">
        <is>
          <t>HISTORICAL-SUPERSEDED</t>
        </is>
      </c>
      <c r="C19" s="27" t="inlineStr">
        <is>
          <t>data/canonical/revenue_assumptions.yml#rev_historical_table1_monthly_inherited / _table2 — preserved, not deleted, not used in any live figure</t>
        </is>
      </c>
    </row>
    <row r="20" ht="30" customHeight="1">
      <c r="A20" s="9" t="inlineStr">
        <is>
          <t>Historical A$63,028.75 (Table 1 Monthly Net P&amp;L)</t>
        </is>
      </c>
      <c r="B20" s="11" t="inlineStr">
        <is>
          <t>HISTORICAL — NOT REVENUE</t>
        </is>
      </c>
      <c r="C20" s="29" t="inlineStr">
        <is>
          <t>docs/CURRENT-STATE.md (pre-2026-08-09-superannuation-fix figure) — this is a historical Net P&amp;L figure, never revenue, superseded by this workbook's Sheet 4</t>
        </is>
      </c>
    </row>
    <row r="21" ht="30" customHeight="1">
      <c r="A21" s="6" t="inlineStr">
        <is>
          <t>Bounded Funding Requirement (A$357,390-577,180)</t>
        </is>
      </c>
      <c r="B21" s="8" t="inlineStr">
        <is>
          <t>BOUNDED</t>
        </is>
      </c>
      <c r="C21" s="27" t="inlineStr">
        <is>
          <t>data/models/master_financial_model.yml#funding_requirement_investigation.combined_funding_requirement_bounded.primary_method</t>
        </is>
      </c>
    </row>
    <row r="22" ht="30" customHeight="1">
      <c r="A22" s="9" t="inlineStr">
        <is>
          <t>Operating Cash Trough (both scenarios)</t>
        </is>
      </c>
      <c r="B22" s="11" t="inlineStr">
        <is>
          <t>MODELLED</t>
        </is>
      </c>
      <c r="C22" s="29" t="inlineStr">
        <is>
          <t>tools/master_financial_model.py#compute_cash_flow — accrual-basis proxy, disclosed simplification</t>
        </is>
      </c>
    </row>
    <row r="23" ht="30" customHeight="1">
      <c r="A23" s="6" t="inlineStr">
        <is>
          <t>Break-Even AM Client Volume (both scenarios)</t>
        </is>
      </c>
      <c r="B23" s="8" t="inlineStr">
        <is>
          <t>MODELLED</t>
        </is>
      </c>
      <c r="C23" s="27" t="inlineStr">
        <is>
          <t>tools/master_financial_model.py#compute_breakeven — AM-volume-only method, disclosed scope limitation</t>
        </is>
      </c>
    </row>
    <row r="24" ht="30" customHeight="1">
      <c r="A24" s="9" t="inlineStr">
        <is>
          <t>Startup-capital 6-9-range reconciliation</t>
        </is>
      </c>
      <c r="B24" s="11" t="inlineStr">
        <is>
          <t>UNRESOLVED</t>
        </is>
      </c>
      <c r="C24" s="29" t="inlineStr">
        <is>
          <t>docs/architecture/STARTUP-COST-RECONCILIATION.md — unchanged by this workbook</t>
        </is>
      </c>
    </row>
  </sheetData>
  <mergeCells count="6">
    <mergeCell ref="A1:C1"/>
    <mergeCell ref="A5:C5"/>
    <mergeCell ref="A6:C6"/>
    <mergeCell ref="A3:C3"/>
    <mergeCell ref="A15:C15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2026-08-10T00:45:30Z</dcterms:created>
  <dcterms:modified xmlns:dcterms="http://purl.org/dc/terms/" xmlns:xsi="http://www.w3.org/2001/XMLSchema-instance" xsi:type="dcterms:W3CDTF">2026-08-10T00:45:30Z</dcterms:modified>
</cp:coreProperties>
</file>